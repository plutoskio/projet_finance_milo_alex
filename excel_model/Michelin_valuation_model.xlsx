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ources" sheetId="1" r:id="rId4"/>
    <sheet state="visible" name="Historical" sheetId="2" r:id="rId5"/>
    <sheet state="visible" name="Forecast" sheetId="3" r:id="rId6"/>
    <sheet state="visible" name="Comps" sheetId="4" r:id="rId7"/>
    <sheet state="visible" name="WACC" sheetId="5" r:id="rId8"/>
    <sheet state="visible" name="DCF" sheetId="6" r:id="rId9"/>
    <sheet state="visible" name="Sensitivity" sheetId="7" r:id="rId10"/>
  </sheets>
  <definedNames/>
  <calcPr/>
  <extLst>
    <ext uri="GoogleSheetsCustomDataVersion2">
      <go:sheetsCustomData xmlns:go="http://customooxmlschemas.google.com/" r:id="rId11" roundtripDataChecksum="3e6FZb+MiA0PNW25jYTrN4LYTUvEnGB20lYDYIfZIOg="/>
    </ext>
  </extLst>
</workbook>
</file>

<file path=xl/sharedStrings.xml><?xml version="1.0" encoding="utf-8"?>
<sst xmlns="http://schemas.openxmlformats.org/spreadsheetml/2006/main" count="221" uniqueCount="164">
  <si>
    <t>Sources et conventions</t>
  </si>
  <si>
    <t>Projet finance Michelin, donnees collectees au 20 avril 2026</t>
  </si>
  <si>
    <t>Source</t>
  </si>
  <si>
    <t>Donnee utilisee</t>
  </si>
  <si>
    <t>Lien / fichier</t>
  </si>
  <si>
    <t>Michelin</t>
  </si>
  <si>
    <t>Financial information at December 31, 2025</t>
  </si>
  <si>
    <t>https://www.michelin.com/en/publications/group/financial-information-december-31-2025</t>
  </si>
  <si>
    <t>All Michelin key figures 2020-2025</t>
  </si>
  <si>
    <t>sources/michelin_key_figures_2020_2025.xlsx</t>
  </si>
  <si>
    <t>2025 Annual Results Guide</t>
  </si>
  <si>
    <t>sources/michelin_2025_annual_results_guide.pdf</t>
  </si>
  <si>
    <t>2025 Universal Registration Document</t>
  </si>
  <si>
    <t>sources/michelin_2025_urd.pdf</t>
  </si>
  <si>
    <t>Grand View Research</t>
  </si>
  <si>
    <t>Global tires market 2025-2030</t>
  </si>
  <si>
    <t>https://www.grandviewresearch.com/industry-analysis/tires-market-report</t>
  </si>
  <si>
    <t>StockAnalysis</t>
  </si>
  <si>
    <t>Michelin and peer valuation statistics</t>
  </si>
  <si>
    <t>https://stockanalysis.com/quote/epa/ML/statistics/</t>
  </si>
  <si>
    <t>CountryEconomy</t>
  </si>
  <si>
    <t>France 10-year bond yield</t>
  </si>
  <si>
    <t>https://countryeconomy.com/bonds/france</t>
  </si>
  <si>
    <t>Kroll</t>
  </si>
  <si>
    <t>Eurozone equity risk premium</t>
  </si>
  <si>
    <t>https://www.kroll.com/en/reports/cost-of-capital/recommended-eurozone-equity-risk-premium-corresponding-risk-free-rates</t>
  </si>
  <si>
    <t>Convention</t>
  </si>
  <si>
    <t>Valeur</t>
  </si>
  <si>
    <t>Unite des etats financiers</t>
  </si>
  <si>
    <t>EUR millions sauf indication contraire</t>
  </si>
  <si>
    <t>Cours de reference Michelin</t>
  </si>
  <si>
    <t>Actions diluees / en circulation</t>
  </si>
  <si>
    <t>684.74m</t>
  </si>
  <si>
    <t>Recommandation retenue</t>
  </si>
  <si>
    <t>Acheter</t>
  </si>
  <si>
    <t>Historique financier Michelin</t>
  </si>
  <si>
    <t>Source: fichier officiel Michelin key figures 2020-2025</t>
  </si>
  <si>
    <t>Chiffre d'affaires</t>
  </si>
  <si>
    <t>Croissance CA</t>
  </si>
  <si>
    <t>Segment EBITDA</t>
  </si>
  <si>
    <t>Marge EBITDA</t>
  </si>
  <si>
    <t>Resultat operationnel des secteurs</t>
  </si>
  <si>
    <t>Marge operationnelle secteurs</t>
  </si>
  <si>
    <t>Resultat operationnel</t>
  </si>
  <si>
    <t>Resultat net</t>
  </si>
  <si>
    <t>Marge nette</t>
  </si>
  <si>
    <t>Cash-flow operationnel</t>
  </si>
  <si>
    <t>Capex</t>
  </si>
  <si>
    <t>Capex / CA</t>
  </si>
  <si>
    <t>Free cash-flow</t>
  </si>
  <si>
    <t>FCF / CA</t>
  </si>
  <si>
    <t>Dette nette</t>
  </si>
  <si>
    <t>Dette nette / EBITDA</t>
  </si>
  <si>
    <t>Projection 2026E-2030E</t>
  </si>
  <si>
    <t>Scenario central: reprise graduelle des volumes, mix premium et discipline cash</t>
  </si>
  <si>
    <t>2026E</t>
  </si>
  <si>
    <t>2027E</t>
  </si>
  <si>
    <t>2028E</t>
  </si>
  <si>
    <t>2029E</t>
  </si>
  <si>
    <t>2030E</t>
  </si>
  <si>
    <t>EBITDA</t>
  </si>
  <si>
    <t>Marge EBIT secteurs</t>
  </si>
  <si>
    <t>EBIT secteurs</t>
  </si>
  <si>
    <t>Taux d'impot</t>
  </si>
  <si>
    <t>NOPAT</t>
  </si>
  <si>
    <t>D&amp;A / CA</t>
  </si>
  <si>
    <t>D&amp;A</t>
  </si>
  <si>
    <t>Variation BFR</t>
  </si>
  <si>
    <t>FCFF</t>
  </si>
  <si>
    <t>Comparables boursiers</t>
  </si>
  <si>
    <t>Multiples de marche ponctuels au 20 avril 2026 ou derniere cloture disponible</t>
  </si>
  <si>
    <t>Societe</t>
  </si>
  <si>
    <t>Ticker</t>
  </si>
  <si>
    <t>Pays</t>
  </si>
  <si>
    <t>Justification</t>
  </si>
  <si>
    <t>EV/CA</t>
  </si>
  <si>
    <t>EV/EBITDA</t>
  </si>
  <si>
    <t>EV/EBIT</t>
  </si>
  <si>
    <t>Bridgestone</t>
  </si>
  <si>
    <t>TYO:5108</t>
  </si>
  <si>
    <t>Japon</t>
  </si>
  <si>
    <t>Leader mondial pneus, exposition replacement/OE comparable</t>
  </si>
  <si>
    <t>Goodyear</t>
  </si>
  <si>
    <t>NASDAQ:GT</t>
  </si>
  <si>
    <t>Etats-Unis</t>
  </si>
  <si>
    <t>Pneumatiques purs, mais levier et marge faible</t>
  </si>
  <si>
    <t>Continental</t>
  </si>
  <si>
    <t>ETR:CON</t>
  </si>
  <si>
    <t>Allemagne</t>
  </si>
  <si>
    <t>Equipementier auto diversifie avec activite pneus</t>
  </si>
  <si>
    <t>Pirelli</t>
  </si>
  <si>
    <t>BIT:PIRC</t>
  </si>
  <si>
    <t>Italie</t>
  </si>
  <si>
    <t>Pneus premium, forte proximite avec Michelin en mix</t>
  </si>
  <si>
    <t>Yokohama Rubber</t>
  </si>
  <si>
    <t>TYO:5101</t>
  </si>
  <si>
    <t>Pneus et caoutchouc industriel, exposition Asie</t>
  </si>
  <si>
    <t>Hankook Tire</t>
  </si>
  <si>
    <t>KRX:161390</t>
  </si>
  <si>
    <t>Coree du Sud</t>
  </si>
  <si>
    <t>Pneus mondiaux, positionnement valeur/premium</t>
  </si>
  <si>
    <t>Application 2026E</t>
  </si>
  <si>
    <t>Multiple bas</t>
  </si>
  <si>
    <t>Multiple median</t>
  </si>
  <si>
    <t>Multiple haut</t>
  </si>
  <si>
    <t>Prix bas</t>
  </si>
  <si>
    <t>Prix median</t>
  </si>
  <si>
    <t>Prix haut</t>
  </si>
  <si>
    <t>EV / CA</t>
  </si>
  <si>
    <t>EV / EBITDA</t>
  </si>
  <si>
    <t>EV / EBIT</t>
  </si>
  <si>
    <t>Calcul du WACC</t>
  </si>
  <si>
    <t>Approche CAPM et structure de capital de marche</t>
  </si>
  <si>
    <t>Input</t>
  </si>
  <si>
    <t>Unite</t>
  </si>
  <si>
    <t>Cours Michelin</t>
  </si>
  <si>
    <t>EUR/action</t>
  </si>
  <si>
    <t>Actions en circulation</t>
  </si>
  <si>
    <t>m</t>
  </si>
  <si>
    <t>Capitalisation boursiere</t>
  </si>
  <si>
    <t>EURm</t>
  </si>
  <si>
    <t>Enterprise value de marche</t>
  </si>
  <si>
    <t>Taux sans risque France 10 ans</t>
  </si>
  <si>
    <t>%</t>
  </si>
  <si>
    <t>Prime de risque actions Eurozone</t>
  </si>
  <si>
    <t>Beta Michelin</t>
  </si>
  <si>
    <t>x</t>
  </si>
  <si>
    <t>Cout des fonds propres</t>
  </si>
  <si>
    <t>Cout de la dette avant impots</t>
  </si>
  <si>
    <t>Taux d'impot effectif</t>
  </si>
  <si>
    <t>Cout de la dette apres impots</t>
  </si>
  <si>
    <t>Poids fonds propres</t>
  </si>
  <si>
    <t>Poids dette nette</t>
  </si>
  <si>
    <t>.</t>
  </si>
  <si>
    <t>WACC retenu</t>
  </si>
  <si>
    <t>Croissance terminale</t>
  </si>
  <si>
    <t>Valorisation DCF</t>
  </si>
  <si>
    <t>FCFF 2026E-2030E + valeur terminale par croissance perpetuelle</t>
  </si>
  <si>
    <t>Facteur d'actualisation</t>
  </si>
  <si>
    <t>PV FCFF</t>
  </si>
  <si>
    <t>Synthese</t>
  </si>
  <si>
    <t>PV des FCFF explicites</t>
  </si>
  <si>
    <t>Valeur terminale</t>
  </si>
  <si>
    <t>PV valeur terminale</t>
  </si>
  <si>
    <t>Enterprise value DCF</t>
  </si>
  <si>
    <t>Equity value DCF</t>
  </si>
  <si>
    <t>Valeur par action DCF</t>
  </si>
  <si>
    <t>Cours actuel</t>
  </si>
  <si>
    <t>Potentiel DCF</t>
  </si>
  <si>
    <t>Sensitivity - Scenario DCF</t>
  </si>
  <si>
    <t>Croissance CA 2026E-2030E fixee a Forecast. Sensibilite sur la marge EBIT terminale 2030, le WACC et la croissance terminale.</t>
  </si>
  <si>
    <t>Scenario</t>
  </si>
  <si>
    <t>Marge EBIT terminale 2030</t>
  </si>
  <si>
    <t>WACC</t>
  </si>
  <si>
    <t>EV DCF (EURm)</t>
  </si>
  <si>
    <t>EqV DCF (EURm)</t>
  </si>
  <si>
    <t>Valeur / action (EUR)</t>
  </si>
  <si>
    <t>Potentiel vs cours</t>
  </si>
  <si>
    <t>Bear</t>
  </si>
  <si>
    <t>Base</t>
  </si>
  <si>
    <t>Bull</t>
  </si>
  <si>
    <t>Custom</t>
  </si>
  <si>
    <t>Lecture: la croissance du CA reste celle de Forecast dans tous les cas; seule la marge terminale, le WACC et g changent.</t>
  </si>
  <si>
    <t>Marge terminale 2030 de base = Forecast!F8. La trajectoire de marge 2027E-2030E est interpolée lineairement a partir de la marge 2026E.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</si>
</sst>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#,##0.0%"/>
    <numFmt numFmtId="165" formatCode="0.0%"/>
    <numFmt numFmtId="166" formatCode="#,##0.0"/>
    <numFmt numFmtId="167" formatCode="#,##0.000"/>
    <numFmt numFmtId="168" formatCode="0.0"/>
  </numFmts>
  <fonts count="13">
    <font>
      <sz val="11.0"/>
      <color theme="1"/>
      <name val="Calibri"/>
      <scheme val="minor"/>
    </font>
    <font>
      <sz val="16.0"/>
      <color rgb="FF1F4E5F"/>
      <name val="Calibri"/>
    </font>
    <font>
      <sz val="11.0"/>
      <color theme="1"/>
      <name val="Calibri"/>
    </font>
    <font>
      <sz val="10.0"/>
      <color rgb="FF6B7280"/>
      <name val="Calibri"/>
    </font>
    <font>
      <sz val="11.0"/>
      <color rgb="FFFFFFFF"/>
      <name val="Calibri"/>
    </font>
    <font>
      <sz val="11.0"/>
      <color rgb="FF20252B"/>
      <name val="Calibri"/>
    </font>
    <font>
      <b/>
      <sz val="14.0"/>
      <color rgb="FFFFFFFF"/>
      <name val="Calibri"/>
      <scheme val="minor"/>
    </font>
    <font>
      <i/>
      <sz val="10.0"/>
      <color rgb="FF404040"/>
      <name val="Calibri"/>
      <scheme val="minor"/>
    </font>
    <font>
      <b/>
      <color rgb="FF1F1F1F"/>
      <name val="Calibri"/>
      <scheme val="minor"/>
    </font>
    <font>
      <color theme="1"/>
      <name val="Calibri"/>
      <scheme val="minor"/>
    </font>
    <font>
      <color rgb="FF1F1F1F"/>
      <name val="Calibri"/>
      <scheme val="minor"/>
    </font>
    <font>
      <i/>
      <color rgb="FF404040"/>
      <name val="Calibri"/>
      <scheme val="minor"/>
    </font>
    <font/>
  </fonts>
  <fills count="9">
    <fill>
      <patternFill patternType="none"/>
    </fill>
    <fill>
      <patternFill patternType="lightGray"/>
    </fill>
    <fill>
      <patternFill patternType="solid">
        <fgColor rgb="FF1F4E5F"/>
        <bgColor rgb="FF1F4E5F"/>
      </patternFill>
    </fill>
    <fill>
      <patternFill patternType="solid">
        <fgColor rgb="FFF6F8FA"/>
        <bgColor rgb="FFF6F8FA"/>
      </patternFill>
    </fill>
    <fill>
      <patternFill patternType="solid">
        <fgColor rgb="FF1F4E78"/>
        <bgColor rgb="FF1F4E78"/>
      </patternFill>
    </fill>
    <fill>
      <patternFill patternType="solid">
        <fgColor rgb="FFD9EAF7"/>
        <bgColor rgb="FFD9EAF7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3F6F9"/>
        <bgColor rgb="FFF3F6F9"/>
      </patternFill>
    </fill>
  </fills>
  <borders count="7">
    <border/>
    <border>
      <bottom style="thin">
        <color rgb="FFD9DEE3"/>
      </bottom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9DEE3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top style="thin">
        <color rgb="FFD9D9D9"/>
      </top>
      <bottom style="thin">
        <color rgb="FFD9D9D9"/>
      </bottom>
    </border>
    <border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wrapText="1"/>
    </xf>
    <xf borderId="1" fillId="0" fontId="2" numFmtId="4" xfId="0" applyAlignment="1" applyBorder="1" applyFont="1" applyNumberFormat="1">
      <alignment horizontal="left" shrinkToFit="0" wrapText="1"/>
    </xf>
    <xf borderId="1" fillId="0" fontId="2" numFmtId="0" xfId="0" applyAlignment="1" applyBorder="1" applyFont="1">
      <alignment horizontal="left" shrinkToFit="0" wrapText="1"/>
    </xf>
    <xf borderId="0" fillId="0" fontId="2" numFmtId="0" xfId="0" applyAlignment="1" applyFont="1">
      <alignment shrinkToFit="0" wrapText="1"/>
    </xf>
    <xf borderId="1" fillId="0" fontId="3" numFmtId="0" xfId="0" applyAlignment="1" applyBorder="1" applyFont="1">
      <alignment horizontal="left" shrinkToFit="0" wrapText="1"/>
    </xf>
    <xf borderId="2" fillId="2" fontId="4" numFmtId="0" xfId="0" applyAlignment="1" applyBorder="1" applyFill="1" applyFont="1">
      <alignment horizontal="left" shrinkToFit="0" wrapText="1"/>
    </xf>
    <xf borderId="2" fillId="2" fontId="4" numFmtId="4" xfId="0" applyAlignment="1" applyBorder="1" applyFont="1" applyNumberFormat="1">
      <alignment horizontal="left" shrinkToFit="0" wrapText="1"/>
    </xf>
    <xf borderId="1" fillId="0" fontId="2" numFmtId="4" xfId="0" applyAlignment="1" applyBorder="1" applyFont="1" applyNumberFormat="1">
      <alignment horizontal="right" shrinkToFit="0" wrapText="1"/>
    </xf>
    <xf borderId="0" fillId="0" fontId="2" numFmtId="4" xfId="0" applyAlignment="1" applyFont="1" applyNumberFormat="1">
      <alignment shrinkToFit="0" wrapText="1"/>
    </xf>
    <xf borderId="0" fillId="0" fontId="2" numFmtId="0" xfId="0" applyFont="1"/>
    <xf borderId="1" fillId="0" fontId="2" numFmtId="3" xfId="0" applyAlignment="1" applyBorder="1" applyFont="1" applyNumberFormat="1">
      <alignment horizontal="left" shrinkToFit="0" wrapText="1"/>
    </xf>
    <xf borderId="2" fillId="2" fontId="4" numFmtId="3" xfId="0" applyAlignment="1" applyBorder="1" applyFont="1" applyNumberFormat="1">
      <alignment horizontal="left" shrinkToFit="0" wrapText="1"/>
    </xf>
    <xf borderId="2" fillId="3" fontId="5" numFmtId="0" xfId="0" applyAlignment="1" applyBorder="1" applyFill="1" applyFont="1">
      <alignment horizontal="left" shrinkToFit="0" wrapText="1"/>
    </xf>
    <xf borderId="1" fillId="0" fontId="2" numFmtId="3" xfId="0" applyAlignment="1" applyBorder="1" applyFont="1" applyNumberFormat="1">
      <alignment horizontal="right" shrinkToFit="0" wrapText="1"/>
    </xf>
    <xf borderId="1" fillId="0" fontId="2" numFmtId="164" xfId="0" applyAlignment="1" applyBorder="1" applyFont="1" applyNumberFormat="1">
      <alignment horizontal="right" shrinkToFit="0" wrapText="1"/>
    </xf>
    <xf borderId="1" fillId="0" fontId="2" numFmtId="165" xfId="0" applyAlignment="1" applyBorder="1" applyFont="1" applyNumberFormat="1">
      <alignment horizontal="right" shrinkToFit="0" wrapText="1"/>
    </xf>
    <xf borderId="1" fillId="0" fontId="2" numFmtId="166" xfId="0" applyAlignment="1" applyBorder="1" applyFont="1" applyNumberFormat="1">
      <alignment horizontal="right" shrinkToFit="0" wrapText="1"/>
    </xf>
    <xf borderId="0" fillId="0" fontId="2" numFmtId="3" xfId="0" applyAlignment="1" applyFont="1" applyNumberFormat="1">
      <alignment shrinkToFit="0" wrapText="1"/>
    </xf>
    <xf borderId="0" fillId="0" fontId="2" numFmtId="3" xfId="0" applyAlignment="1" applyFont="1" applyNumberFormat="1">
      <alignment horizontal="right" shrinkToFit="0" wrapText="1"/>
    </xf>
    <xf borderId="0" fillId="0" fontId="2" numFmtId="4" xfId="0" applyAlignment="1" applyFont="1" applyNumberFormat="1">
      <alignment horizontal="right" shrinkToFit="0" wrapText="1"/>
    </xf>
    <xf borderId="1" fillId="0" fontId="2" numFmtId="164" xfId="0" applyAlignment="1" applyBorder="1" applyFont="1" applyNumberFormat="1">
      <alignment horizontal="left" shrinkToFit="0" wrapText="1"/>
    </xf>
    <xf borderId="1" fillId="0" fontId="2" numFmtId="167" xfId="0" applyAlignment="1" applyBorder="1" applyFont="1" applyNumberFormat="1">
      <alignment horizontal="right" shrinkToFit="0" wrapText="1"/>
    </xf>
    <xf borderId="0" fillId="0" fontId="2" numFmtId="164" xfId="0" applyAlignment="1" applyFont="1" applyNumberFormat="1">
      <alignment horizontal="right" shrinkToFit="0" wrapText="1"/>
    </xf>
    <xf borderId="0" fillId="4" fontId="6" numFmtId="0" xfId="0" applyAlignment="1" applyFill="1" applyFont="1">
      <alignment horizontal="left" vertical="center"/>
    </xf>
    <xf borderId="0" fillId="0" fontId="7" numFmtId="0" xfId="0" applyAlignment="1" applyFont="1">
      <alignment horizontal="left" vertical="center"/>
    </xf>
    <xf borderId="3" fillId="5" fontId="8" numFmtId="0" xfId="0" applyAlignment="1" applyBorder="1" applyFill="1" applyFont="1">
      <alignment horizontal="center" vertical="center"/>
    </xf>
    <xf borderId="0" fillId="0" fontId="9" numFmtId="0" xfId="0" applyFont="1"/>
    <xf borderId="3" fillId="6" fontId="8" numFmtId="0" xfId="0" applyAlignment="1" applyBorder="1" applyFill="1" applyFont="1">
      <alignment horizontal="left" vertical="center"/>
    </xf>
    <xf borderId="3" fillId="6" fontId="10" numFmtId="165" xfId="0" applyAlignment="1" applyBorder="1" applyFont="1" applyNumberFormat="1">
      <alignment horizontal="center" vertical="center"/>
    </xf>
    <xf borderId="3" fillId="6" fontId="10" numFmtId="166" xfId="0" applyAlignment="1" applyBorder="1" applyFont="1" applyNumberFormat="1">
      <alignment horizontal="center" vertical="center"/>
    </xf>
    <xf borderId="3" fillId="6" fontId="10" numFmtId="168" xfId="0" applyAlignment="1" applyBorder="1" applyFont="1" applyNumberFormat="1">
      <alignment horizontal="center" vertical="center"/>
    </xf>
    <xf borderId="0" fillId="0" fontId="9" numFmtId="3" xfId="0" applyFont="1" applyNumberFormat="1"/>
    <xf borderId="0" fillId="0" fontId="9" numFmtId="164" xfId="0" applyFont="1" applyNumberFormat="1"/>
    <xf borderId="3" fillId="7" fontId="8" numFmtId="0" xfId="0" applyAlignment="1" applyBorder="1" applyFill="1" applyFont="1">
      <alignment horizontal="left" vertical="center"/>
    </xf>
    <xf borderId="3" fillId="7" fontId="10" numFmtId="165" xfId="0" applyAlignment="1" applyBorder="1" applyFont="1" applyNumberFormat="1">
      <alignment horizontal="center" vertical="center"/>
    </xf>
    <xf borderId="3" fillId="7" fontId="10" numFmtId="166" xfId="0" applyAlignment="1" applyBorder="1" applyFont="1" applyNumberFormat="1">
      <alignment horizontal="center" vertical="center"/>
    </xf>
    <xf borderId="3" fillId="7" fontId="10" numFmtId="168" xfId="0" applyAlignment="1" applyBorder="1" applyFont="1" applyNumberFormat="1">
      <alignment horizontal="center" vertical="center"/>
    </xf>
    <xf borderId="4" fillId="8" fontId="11" numFmtId="0" xfId="0" applyAlignment="1" applyBorder="1" applyFill="1" applyFont="1">
      <alignment horizontal="left" vertical="center"/>
    </xf>
    <xf borderId="5" fillId="0" fontId="12" numFmtId="0" xfId="0" applyBorder="1" applyFont="1"/>
    <xf borderId="6" fillId="0" fontId="12" numFmtId="0" xfId="0" applyBorder="1" applyFont="1"/>
    <xf borderId="0" fillId="0" fontId="9" numFmtId="166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34.0"/>
    <col customWidth="1" min="2" max="3" width="16.0"/>
    <col customWidth="1" min="4" max="23" width="8.71"/>
  </cols>
  <sheetData>
    <row r="1" ht="17.25" customHeight="1">
      <c r="A1" s="1" t="s">
        <v>0</v>
      </c>
      <c r="B1" s="2"/>
      <c r="C1" s="3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7.25" customHeight="1">
      <c r="A2" s="5" t="s">
        <v>1</v>
      </c>
      <c r="B2" s="2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7.25" customHeight="1">
      <c r="A3" s="6"/>
      <c r="B3" s="7"/>
      <c r="C3" s="6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7.25" customHeight="1">
      <c r="A4" s="3" t="s">
        <v>2</v>
      </c>
      <c r="B4" s="2" t="s">
        <v>3</v>
      </c>
      <c r="C4" s="3" t="s">
        <v>4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84.75" customHeight="1">
      <c r="A5" s="3" t="s">
        <v>5</v>
      </c>
      <c r="B5" s="2" t="s">
        <v>6</v>
      </c>
      <c r="C5" s="3" t="s">
        <v>7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39.75" customHeight="1">
      <c r="A6" s="3" t="s">
        <v>5</v>
      </c>
      <c r="B6" s="2" t="s">
        <v>8</v>
      </c>
      <c r="C6" s="3" t="s">
        <v>9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9.75" customHeight="1">
      <c r="A7" s="3" t="s">
        <v>5</v>
      </c>
      <c r="B7" s="2" t="s">
        <v>10</v>
      </c>
      <c r="C7" s="3" t="s">
        <v>11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39.75" customHeight="1">
      <c r="A8" s="3" t="s">
        <v>5</v>
      </c>
      <c r="B8" s="2" t="s">
        <v>12</v>
      </c>
      <c r="C8" s="3" t="s">
        <v>13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62.25" customHeight="1">
      <c r="A9" s="3" t="s">
        <v>14</v>
      </c>
      <c r="B9" s="2" t="s">
        <v>15</v>
      </c>
      <c r="C9" s="3" t="s">
        <v>16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9.75" customHeight="1">
      <c r="A10" s="3" t="s">
        <v>17</v>
      </c>
      <c r="B10" s="2" t="s">
        <v>18</v>
      </c>
      <c r="C10" s="3" t="s">
        <v>19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9.75" customHeight="1">
      <c r="A11" s="3" t="s">
        <v>20</v>
      </c>
      <c r="B11" s="2" t="s">
        <v>21</v>
      </c>
      <c r="C11" s="3" t="s">
        <v>22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07.25" customHeight="1">
      <c r="A12" s="3" t="s">
        <v>23</v>
      </c>
      <c r="B12" s="2" t="s">
        <v>24</v>
      </c>
      <c r="C12" s="3" t="s">
        <v>25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7.25" customHeight="1">
      <c r="A13" s="3"/>
      <c r="B13" s="2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8.75" customHeight="1">
      <c r="A14" s="6" t="s">
        <v>26</v>
      </c>
      <c r="B14" s="7" t="s">
        <v>27</v>
      </c>
      <c r="C14" s="6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39.75" customHeight="1">
      <c r="A15" s="3" t="s">
        <v>28</v>
      </c>
      <c r="B15" s="2" t="s">
        <v>29</v>
      </c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7.25" customHeight="1">
      <c r="A16" s="3" t="s">
        <v>30</v>
      </c>
      <c r="B16" s="8">
        <v>32.24</v>
      </c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7.25" customHeight="1">
      <c r="A17" s="3" t="s">
        <v>31</v>
      </c>
      <c r="B17" s="2" t="s">
        <v>32</v>
      </c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7.25" customHeight="1">
      <c r="A18" s="3" t="s">
        <v>33</v>
      </c>
      <c r="B18" s="2" t="s">
        <v>34</v>
      </c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9"/>
      <c r="C19" s="4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4"/>
      <c r="B20" s="9"/>
      <c r="C20" s="4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15.75" customHeight="1">
      <c r="A21" s="4"/>
      <c r="B21" s="9"/>
      <c r="C21" s="4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15.75" customHeight="1">
      <c r="A22" s="4"/>
      <c r="B22" s="9"/>
      <c r="C22" s="4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15.75" customHeight="1">
      <c r="A23" s="4"/>
      <c r="B23" s="9"/>
      <c r="C23" s="4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5.75" customHeight="1">
      <c r="A24" s="4"/>
      <c r="B24" s="9"/>
      <c r="C24" s="4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5.75" customHeight="1">
      <c r="A25" s="4"/>
      <c r="B25" s="9"/>
      <c r="C25" s="4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5.75" customHeight="1">
      <c r="A26" s="4"/>
      <c r="B26" s="9"/>
      <c r="C26" s="4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5.75" customHeight="1">
      <c r="A27" s="4"/>
      <c r="B27" s="9"/>
      <c r="C27" s="4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5.75" customHeight="1">
      <c r="A28" s="4"/>
      <c r="B28" s="9"/>
      <c r="C28" s="4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5.75" customHeight="1">
      <c r="A29" s="4"/>
      <c r="B29" s="9"/>
      <c r="C29" s="4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5.75" customHeight="1">
      <c r="A30" s="4"/>
      <c r="B30" s="9"/>
      <c r="C30" s="4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5.75" customHeight="1">
      <c r="A31" s="4"/>
      <c r="B31" s="9"/>
      <c r="C31" s="4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5.75" customHeight="1">
      <c r="A32" s="4"/>
      <c r="B32" s="9"/>
      <c r="C32" s="4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5.75" customHeight="1">
      <c r="A33" s="4"/>
      <c r="B33" s="9"/>
      <c r="C33" s="4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5.75" customHeight="1">
      <c r="A34" s="4"/>
      <c r="B34" s="9"/>
      <c r="C34" s="4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5.75" customHeight="1">
      <c r="A35" s="4"/>
      <c r="B35" s="9"/>
      <c r="C35" s="4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5.75" customHeight="1">
      <c r="A36" s="4"/>
      <c r="B36" s="9"/>
      <c r="C36" s="4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5.75" customHeight="1">
      <c r="A37" s="4"/>
      <c r="B37" s="9"/>
      <c r="C37" s="4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5.75" customHeight="1">
      <c r="A38" s="4"/>
      <c r="B38" s="9"/>
      <c r="C38" s="4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5.75" customHeight="1">
      <c r="A39" s="4"/>
      <c r="B39" s="9"/>
      <c r="C39" s="4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5.75" customHeight="1">
      <c r="A40" s="4"/>
      <c r="B40" s="9"/>
      <c r="C40" s="4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5.75" customHeight="1">
      <c r="A41" s="4"/>
      <c r="B41" s="9"/>
      <c r="C41" s="4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5.75" customHeight="1">
      <c r="A42" s="4"/>
      <c r="B42" s="9"/>
      <c r="C42" s="4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5.75" customHeight="1">
      <c r="A43" s="4"/>
      <c r="B43" s="9"/>
      <c r="C43" s="4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5.75" customHeight="1">
      <c r="A44" s="4"/>
      <c r="B44" s="9"/>
      <c r="C44" s="4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5.75" customHeight="1">
      <c r="A45" s="4"/>
      <c r="B45" s="9"/>
      <c r="C45" s="4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5.75" customHeight="1">
      <c r="A46" s="4"/>
      <c r="B46" s="9"/>
      <c r="C46" s="4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5.75" customHeight="1">
      <c r="A47" s="4"/>
      <c r="B47" s="9"/>
      <c r="C47" s="4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5.75" customHeight="1">
      <c r="A48" s="4"/>
      <c r="B48" s="9"/>
      <c r="C48" s="4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5.75" customHeight="1">
      <c r="A49" s="4"/>
      <c r="B49" s="9"/>
      <c r="C49" s="4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5.75" customHeight="1">
      <c r="A50" s="4"/>
      <c r="B50" s="9"/>
      <c r="C50" s="4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5.75" customHeight="1">
      <c r="A51" s="4"/>
      <c r="B51" s="9"/>
      <c r="C51" s="4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5.75" customHeight="1">
      <c r="A52" s="4"/>
      <c r="B52" s="9"/>
      <c r="C52" s="4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5.75" customHeight="1">
      <c r="A53" s="4"/>
      <c r="B53" s="9"/>
      <c r="C53" s="4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5.75" customHeight="1">
      <c r="A54" s="4"/>
      <c r="B54" s="9"/>
      <c r="C54" s="4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5.75" customHeight="1">
      <c r="A55" s="4"/>
      <c r="B55" s="9"/>
      <c r="C55" s="4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5.75" customHeight="1">
      <c r="A56" s="4"/>
      <c r="B56" s="9"/>
      <c r="C56" s="4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5.75" customHeight="1">
      <c r="A57" s="4"/>
      <c r="B57" s="9"/>
      <c r="C57" s="4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5.75" customHeight="1">
      <c r="A58" s="4"/>
      <c r="B58" s="9"/>
      <c r="C58" s="4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5.75" customHeight="1">
      <c r="A59" s="4"/>
      <c r="B59" s="9"/>
      <c r="C59" s="4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5.75" customHeight="1">
      <c r="A60" s="4"/>
      <c r="B60" s="9"/>
      <c r="C60" s="4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5.75" customHeight="1">
      <c r="A61" s="4"/>
      <c r="B61" s="9"/>
      <c r="C61" s="4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5.75" customHeight="1">
      <c r="A62" s="4"/>
      <c r="B62" s="9"/>
      <c r="C62" s="4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5.75" customHeight="1">
      <c r="A63" s="4"/>
      <c r="B63" s="9"/>
      <c r="C63" s="4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5.75" customHeight="1">
      <c r="A64" s="4"/>
      <c r="B64" s="9"/>
      <c r="C64" s="4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5.75" customHeight="1">
      <c r="A65" s="4"/>
      <c r="B65" s="9"/>
      <c r="C65" s="4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5.75" customHeight="1">
      <c r="A66" s="4"/>
      <c r="B66" s="9"/>
      <c r="C66" s="4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5.75" customHeight="1">
      <c r="A67" s="4"/>
      <c r="B67" s="9"/>
      <c r="C67" s="4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5.75" customHeight="1">
      <c r="A68" s="4"/>
      <c r="B68" s="9"/>
      <c r="C68" s="4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5.75" customHeight="1">
      <c r="A69" s="4"/>
      <c r="B69" s="9"/>
      <c r="C69" s="4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5.75" customHeight="1">
      <c r="A70" s="4"/>
      <c r="B70" s="9"/>
      <c r="C70" s="4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5.75" customHeight="1">
      <c r="A71" s="4"/>
      <c r="B71" s="9"/>
      <c r="C71" s="4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5.75" customHeight="1">
      <c r="A72" s="4"/>
      <c r="B72" s="9"/>
      <c r="C72" s="4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5.75" customHeight="1">
      <c r="A73" s="4"/>
      <c r="B73" s="9"/>
      <c r="C73" s="4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5.75" customHeight="1">
      <c r="A74" s="4"/>
      <c r="B74" s="9"/>
      <c r="C74" s="4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5.75" customHeight="1">
      <c r="A75" s="4"/>
      <c r="B75" s="9"/>
      <c r="C75" s="4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5.75" customHeight="1">
      <c r="A76" s="4"/>
      <c r="B76" s="9"/>
      <c r="C76" s="4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5.75" customHeight="1">
      <c r="A77" s="4"/>
      <c r="B77" s="9"/>
      <c r="C77" s="4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5.75" customHeight="1">
      <c r="A78" s="4"/>
      <c r="B78" s="9"/>
      <c r="C78" s="4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5.75" customHeight="1">
      <c r="A79" s="4"/>
      <c r="B79" s="9"/>
      <c r="C79" s="4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5.75" customHeight="1">
      <c r="A80" s="4"/>
      <c r="B80" s="9"/>
      <c r="C80" s="4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5.75" customHeight="1">
      <c r="A81" s="4"/>
      <c r="B81" s="9"/>
      <c r="C81" s="4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5.75" customHeight="1">
      <c r="A82" s="4"/>
      <c r="B82" s="9"/>
      <c r="C82" s="4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5.75" customHeight="1">
      <c r="A83" s="4"/>
      <c r="B83" s="9"/>
      <c r="C83" s="4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5.75" customHeight="1">
      <c r="A84" s="4"/>
      <c r="B84" s="9"/>
      <c r="C84" s="4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5.75" customHeight="1">
      <c r="A85" s="4"/>
      <c r="B85" s="9"/>
      <c r="C85" s="4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5.75" customHeight="1">
      <c r="A86" s="4"/>
      <c r="B86" s="9"/>
      <c r="C86" s="4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5.75" customHeight="1">
      <c r="A87" s="4"/>
      <c r="B87" s="9"/>
      <c r="C87" s="4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5.75" customHeight="1">
      <c r="A88" s="4"/>
      <c r="B88" s="9"/>
      <c r="C88" s="4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5.75" customHeight="1">
      <c r="A89" s="4"/>
      <c r="B89" s="9"/>
      <c r="C89" s="4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5.75" customHeight="1">
      <c r="A90" s="4"/>
      <c r="B90" s="9"/>
      <c r="C90" s="4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5.75" customHeight="1">
      <c r="A91" s="4"/>
      <c r="B91" s="9"/>
      <c r="C91" s="4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5.75" customHeight="1">
      <c r="A92" s="4"/>
      <c r="B92" s="9"/>
      <c r="C92" s="4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5.75" customHeight="1">
      <c r="A93" s="4"/>
      <c r="B93" s="9"/>
      <c r="C93" s="4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5.75" customHeight="1">
      <c r="A94" s="4"/>
      <c r="B94" s="9"/>
      <c r="C94" s="4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5.75" customHeight="1">
      <c r="A95" s="4"/>
      <c r="B95" s="9"/>
      <c r="C95" s="4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5.75" customHeight="1">
      <c r="A96" s="4"/>
      <c r="B96" s="9"/>
      <c r="C96" s="4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5.75" customHeight="1">
      <c r="A97" s="4"/>
      <c r="B97" s="9"/>
      <c r="C97" s="4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5.75" customHeight="1">
      <c r="A98" s="4"/>
      <c r="B98" s="9"/>
      <c r="C98" s="4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5.75" customHeight="1">
      <c r="A99" s="4"/>
      <c r="B99" s="9"/>
      <c r="C99" s="4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5.75" customHeight="1">
      <c r="A100" s="4"/>
      <c r="B100" s="9"/>
      <c r="C100" s="4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5.75" customHeight="1">
      <c r="A101" s="4"/>
      <c r="B101" s="9"/>
      <c r="C101" s="4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5.75" customHeight="1">
      <c r="A102" s="4"/>
      <c r="B102" s="9"/>
      <c r="C102" s="4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5.75" customHeight="1">
      <c r="A103" s="4"/>
      <c r="B103" s="9"/>
      <c r="C103" s="4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5.75" customHeight="1">
      <c r="A104" s="4"/>
      <c r="B104" s="9"/>
      <c r="C104" s="4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5.75" customHeight="1">
      <c r="A105" s="4"/>
      <c r="B105" s="9"/>
      <c r="C105" s="4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5.75" customHeight="1">
      <c r="A106" s="4"/>
      <c r="B106" s="9"/>
      <c r="C106" s="4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5.75" customHeight="1">
      <c r="A107" s="4"/>
      <c r="B107" s="9"/>
      <c r="C107" s="4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5.75" customHeight="1">
      <c r="A108" s="4"/>
      <c r="B108" s="9"/>
      <c r="C108" s="4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5.75" customHeight="1">
      <c r="A109" s="4"/>
      <c r="B109" s="9"/>
      <c r="C109" s="4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5.75" customHeight="1">
      <c r="A110" s="4"/>
      <c r="B110" s="9"/>
      <c r="C110" s="4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5.75" customHeight="1">
      <c r="A111" s="4"/>
      <c r="B111" s="9"/>
      <c r="C111" s="4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5.75" customHeight="1">
      <c r="A112" s="4"/>
      <c r="B112" s="9"/>
      <c r="C112" s="4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5.75" customHeight="1">
      <c r="A113" s="4"/>
      <c r="B113" s="9"/>
      <c r="C113" s="4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5.75" customHeight="1">
      <c r="A114" s="4"/>
      <c r="B114" s="9"/>
      <c r="C114" s="4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5.75" customHeight="1">
      <c r="A115" s="4"/>
      <c r="B115" s="9"/>
      <c r="C115" s="4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5.75" customHeight="1">
      <c r="A116" s="4"/>
      <c r="B116" s="9"/>
      <c r="C116" s="4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5.75" customHeight="1">
      <c r="A117" s="4"/>
      <c r="B117" s="9"/>
      <c r="C117" s="4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5.75" customHeight="1">
      <c r="A118" s="4"/>
      <c r="B118" s="9"/>
      <c r="C118" s="4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5.75" customHeight="1">
      <c r="A119" s="4"/>
      <c r="B119" s="9"/>
      <c r="C119" s="4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5.75" customHeight="1">
      <c r="A120" s="4"/>
      <c r="B120" s="9"/>
      <c r="C120" s="4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5.75" customHeight="1">
      <c r="A121" s="4"/>
      <c r="B121" s="9"/>
      <c r="C121" s="4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5.75" customHeight="1">
      <c r="A122" s="4"/>
      <c r="B122" s="9"/>
      <c r="C122" s="4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5.75" customHeight="1">
      <c r="A123" s="4"/>
      <c r="B123" s="9"/>
      <c r="C123" s="4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5.75" customHeight="1">
      <c r="A124" s="4"/>
      <c r="B124" s="9"/>
      <c r="C124" s="4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5.75" customHeight="1">
      <c r="A125" s="4"/>
      <c r="B125" s="9"/>
      <c r="C125" s="4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5.75" customHeight="1">
      <c r="A126" s="4"/>
      <c r="B126" s="9"/>
      <c r="C126" s="4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5.75" customHeight="1">
      <c r="A127" s="4"/>
      <c r="B127" s="9"/>
      <c r="C127" s="4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5.75" customHeight="1">
      <c r="A128" s="4"/>
      <c r="B128" s="9"/>
      <c r="C128" s="4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5.75" customHeight="1">
      <c r="A129" s="4"/>
      <c r="B129" s="9"/>
      <c r="C129" s="4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5.75" customHeight="1">
      <c r="A130" s="4"/>
      <c r="B130" s="9"/>
      <c r="C130" s="4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5.75" customHeight="1">
      <c r="A131" s="4"/>
      <c r="B131" s="9"/>
      <c r="C131" s="4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5.75" customHeight="1">
      <c r="A132" s="4"/>
      <c r="B132" s="9"/>
      <c r="C132" s="4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5.75" customHeight="1">
      <c r="A133" s="4"/>
      <c r="B133" s="9"/>
      <c r="C133" s="4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5.75" customHeight="1">
      <c r="A134" s="4"/>
      <c r="B134" s="9"/>
      <c r="C134" s="4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5.75" customHeight="1">
      <c r="A135" s="4"/>
      <c r="B135" s="9"/>
      <c r="C135" s="4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5.75" customHeight="1">
      <c r="A136" s="4"/>
      <c r="B136" s="9"/>
      <c r="C136" s="4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5.75" customHeight="1">
      <c r="A137" s="4"/>
      <c r="B137" s="9"/>
      <c r="C137" s="4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5.75" customHeight="1">
      <c r="A138" s="4"/>
      <c r="B138" s="9"/>
      <c r="C138" s="4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5.75" customHeight="1">
      <c r="A139" s="4"/>
      <c r="B139" s="9"/>
      <c r="C139" s="4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5.75" customHeight="1">
      <c r="A140" s="4"/>
      <c r="B140" s="9"/>
      <c r="C140" s="4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5.75" customHeight="1">
      <c r="A141" s="4"/>
      <c r="B141" s="9"/>
      <c r="C141" s="4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5.75" customHeight="1">
      <c r="A142" s="4"/>
      <c r="B142" s="9"/>
      <c r="C142" s="4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5.75" customHeight="1">
      <c r="A143" s="4"/>
      <c r="B143" s="9"/>
      <c r="C143" s="4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5.75" customHeight="1">
      <c r="A144" s="4"/>
      <c r="B144" s="9"/>
      <c r="C144" s="4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5.75" customHeight="1">
      <c r="A145" s="4"/>
      <c r="B145" s="9"/>
      <c r="C145" s="4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5.75" customHeight="1">
      <c r="A146" s="4"/>
      <c r="B146" s="9"/>
      <c r="C146" s="4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5.75" customHeight="1">
      <c r="A147" s="4"/>
      <c r="B147" s="9"/>
      <c r="C147" s="4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5.75" customHeight="1">
      <c r="A148" s="4"/>
      <c r="B148" s="9"/>
      <c r="C148" s="4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5.75" customHeight="1">
      <c r="A149" s="4"/>
      <c r="B149" s="9"/>
      <c r="C149" s="4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5.75" customHeight="1">
      <c r="A150" s="4"/>
      <c r="B150" s="9"/>
      <c r="C150" s="4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5.75" customHeight="1">
      <c r="A151" s="4"/>
      <c r="B151" s="9"/>
      <c r="C151" s="4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5.75" customHeight="1">
      <c r="A152" s="4"/>
      <c r="B152" s="9"/>
      <c r="C152" s="4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5.75" customHeight="1">
      <c r="A153" s="4"/>
      <c r="B153" s="9"/>
      <c r="C153" s="4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5.75" customHeight="1">
      <c r="A154" s="4"/>
      <c r="B154" s="9"/>
      <c r="C154" s="4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5.75" customHeight="1">
      <c r="A155" s="4"/>
      <c r="B155" s="9"/>
      <c r="C155" s="4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5.75" customHeight="1">
      <c r="A156" s="4"/>
      <c r="B156" s="9"/>
      <c r="C156" s="4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5.75" customHeight="1">
      <c r="A157" s="4"/>
      <c r="B157" s="9"/>
      <c r="C157" s="4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5.75" customHeight="1">
      <c r="A158" s="4"/>
      <c r="B158" s="9"/>
      <c r="C158" s="4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5.75" customHeight="1">
      <c r="A159" s="4"/>
      <c r="B159" s="9"/>
      <c r="C159" s="4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5.75" customHeight="1">
      <c r="A160" s="4"/>
      <c r="B160" s="9"/>
      <c r="C160" s="4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5.75" customHeight="1">
      <c r="A161" s="4"/>
      <c r="B161" s="9"/>
      <c r="C161" s="4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5.75" customHeight="1">
      <c r="A162" s="4"/>
      <c r="B162" s="9"/>
      <c r="C162" s="4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5.75" customHeight="1">
      <c r="A163" s="4"/>
      <c r="B163" s="9"/>
      <c r="C163" s="4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5.75" customHeight="1">
      <c r="A164" s="4"/>
      <c r="B164" s="9"/>
      <c r="C164" s="4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5.75" customHeight="1">
      <c r="A165" s="4"/>
      <c r="B165" s="9"/>
      <c r="C165" s="4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5.75" customHeight="1">
      <c r="A166" s="4"/>
      <c r="B166" s="9"/>
      <c r="C166" s="4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5.75" customHeight="1">
      <c r="A167" s="4"/>
      <c r="B167" s="9"/>
      <c r="C167" s="4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5.75" customHeight="1">
      <c r="A168" s="4"/>
      <c r="B168" s="9"/>
      <c r="C168" s="4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5.75" customHeight="1">
      <c r="A169" s="4"/>
      <c r="B169" s="9"/>
      <c r="C169" s="4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5.75" customHeight="1">
      <c r="A170" s="4"/>
      <c r="B170" s="9"/>
      <c r="C170" s="4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5.75" customHeight="1">
      <c r="A171" s="4"/>
      <c r="B171" s="9"/>
      <c r="C171" s="4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5.75" customHeight="1">
      <c r="A172" s="4"/>
      <c r="B172" s="9"/>
      <c r="C172" s="4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5.75" customHeight="1">
      <c r="A173" s="4"/>
      <c r="B173" s="9"/>
      <c r="C173" s="4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5.75" customHeight="1">
      <c r="A174" s="4"/>
      <c r="B174" s="9"/>
      <c r="C174" s="4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5.75" customHeight="1">
      <c r="A175" s="4"/>
      <c r="B175" s="9"/>
      <c r="C175" s="4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5.75" customHeight="1">
      <c r="A176" s="4"/>
      <c r="B176" s="9"/>
      <c r="C176" s="4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5.75" customHeight="1">
      <c r="A177" s="4"/>
      <c r="B177" s="9"/>
      <c r="C177" s="4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5.75" customHeight="1">
      <c r="A178" s="4"/>
      <c r="B178" s="9"/>
      <c r="C178" s="4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5.75" customHeight="1">
      <c r="A179" s="4"/>
      <c r="B179" s="9"/>
      <c r="C179" s="4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5.75" customHeight="1">
      <c r="A180" s="4"/>
      <c r="B180" s="9"/>
      <c r="C180" s="4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5.75" customHeight="1">
      <c r="A181" s="4"/>
      <c r="B181" s="9"/>
      <c r="C181" s="4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5.75" customHeight="1">
      <c r="A182" s="4"/>
      <c r="B182" s="9"/>
      <c r="C182" s="4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5.75" customHeight="1">
      <c r="A183" s="4"/>
      <c r="B183" s="9"/>
      <c r="C183" s="4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5.75" customHeight="1">
      <c r="A184" s="4"/>
      <c r="B184" s="9"/>
      <c r="C184" s="4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5.75" customHeight="1">
      <c r="A185" s="4"/>
      <c r="B185" s="9"/>
      <c r="C185" s="4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5.75" customHeight="1">
      <c r="A186" s="4"/>
      <c r="B186" s="9"/>
      <c r="C186" s="4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5.75" customHeight="1">
      <c r="A187" s="4"/>
      <c r="B187" s="9"/>
      <c r="C187" s="4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5.75" customHeight="1">
      <c r="A188" s="4"/>
      <c r="B188" s="9"/>
      <c r="C188" s="4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5.75" customHeight="1">
      <c r="A189" s="4"/>
      <c r="B189" s="9"/>
      <c r="C189" s="4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5.75" customHeight="1">
      <c r="A190" s="4"/>
      <c r="B190" s="9"/>
      <c r="C190" s="4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5.75" customHeight="1">
      <c r="A191" s="4"/>
      <c r="B191" s="9"/>
      <c r="C191" s="4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5.75" customHeight="1">
      <c r="A192" s="4"/>
      <c r="B192" s="9"/>
      <c r="C192" s="4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5.75" customHeight="1">
      <c r="A193" s="4"/>
      <c r="B193" s="9"/>
      <c r="C193" s="4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5.75" customHeight="1">
      <c r="A194" s="4"/>
      <c r="B194" s="9"/>
      <c r="C194" s="4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5.75" customHeight="1">
      <c r="A195" s="4"/>
      <c r="B195" s="9"/>
      <c r="C195" s="4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5.75" customHeight="1">
      <c r="A196" s="4"/>
      <c r="B196" s="9"/>
      <c r="C196" s="4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5.75" customHeight="1">
      <c r="A197" s="4"/>
      <c r="B197" s="9"/>
      <c r="C197" s="4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5.75" customHeight="1">
      <c r="A198" s="4"/>
      <c r="B198" s="9"/>
      <c r="C198" s="4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5.75" customHeight="1">
      <c r="A199" s="4"/>
      <c r="B199" s="9"/>
      <c r="C199" s="4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5.75" customHeight="1">
      <c r="A200" s="4"/>
      <c r="B200" s="9"/>
      <c r="C200" s="4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5.75" customHeight="1">
      <c r="A201" s="4"/>
      <c r="B201" s="9"/>
      <c r="C201" s="4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5.75" customHeight="1">
      <c r="A202" s="4"/>
      <c r="B202" s="9"/>
      <c r="C202" s="4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5.75" customHeight="1">
      <c r="A203" s="4"/>
      <c r="B203" s="9"/>
      <c r="C203" s="4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5.75" customHeight="1">
      <c r="A204" s="4"/>
      <c r="B204" s="9"/>
      <c r="C204" s="4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5.75" customHeight="1">
      <c r="A205" s="4"/>
      <c r="B205" s="9"/>
      <c r="C205" s="4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5.75" customHeight="1">
      <c r="A206" s="4"/>
      <c r="B206" s="9"/>
      <c r="C206" s="4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5.75" customHeight="1">
      <c r="A207" s="4"/>
      <c r="B207" s="9"/>
      <c r="C207" s="4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5.75" customHeight="1">
      <c r="A208" s="4"/>
      <c r="B208" s="9"/>
      <c r="C208" s="4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5.75" customHeight="1">
      <c r="A209" s="4"/>
      <c r="B209" s="9"/>
      <c r="C209" s="4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5.75" customHeight="1">
      <c r="A210" s="4"/>
      <c r="B210" s="9"/>
      <c r="C210" s="4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5.75" customHeight="1">
      <c r="A211" s="4"/>
      <c r="B211" s="9"/>
      <c r="C211" s="4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5.75" customHeight="1">
      <c r="A212" s="4"/>
      <c r="B212" s="9"/>
      <c r="C212" s="4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5.75" customHeight="1">
      <c r="A213" s="4"/>
      <c r="B213" s="9"/>
      <c r="C213" s="4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5.75" customHeight="1">
      <c r="A214" s="4"/>
      <c r="B214" s="9"/>
      <c r="C214" s="4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5.75" customHeight="1">
      <c r="A215" s="4"/>
      <c r="B215" s="9"/>
      <c r="C215" s="4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5.75" customHeight="1">
      <c r="A216" s="4"/>
      <c r="B216" s="9"/>
      <c r="C216" s="4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5.75" customHeight="1">
      <c r="A217" s="4"/>
      <c r="B217" s="9"/>
      <c r="C217" s="4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5.75" customHeight="1">
      <c r="A218" s="4"/>
      <c r="B218" s="9"/>
      <c r="C218" s="4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5.75" customHeight="1">
      <c r="A219" s="4"/>
      <c r="B219" s="9"/>
      <c r="C219" s="4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5.75" customHeight="1">
      <c r="A220" s="4"/>
      <c r="B220" s="9"/>
      <c r="C220" s="4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</row>
    <row r="222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</row>
    <row r="223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</row>
    <row r="224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</row>
    <row r="225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</row>
    <row r="226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</row>
    <row r="227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</row>
    <row r="228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</row>
    <row r="229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</row>
    <row r="230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</row>
    <row r="23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</row>
    <row r="232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</row>
    <row r="233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</row>
    <row r="234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</row>
    <row r="235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</row>
    <row r="236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</row>
    <row r="237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</row>
    <row r="238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</row>
    <row r="239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</row>
    <row r="240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</row>
    <row r="24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</row>
    <row r="242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</row>
    <row r="243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</row>
    <row r="244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</row>
    <row r="245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</row>
    <row r="246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</row>
    <row r="247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</row>
    <row r="248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</row>
    <row r="249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</row>
    <row r="250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</row>
    <row r="25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</row>
    <row r="252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</row>
    <row r="253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</row>
    <row r="254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</row>
    <row r="255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</row>
    <row r="256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</row>
    <row r="257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</row>
    <row r="258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</row>
    <row r="259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</row>
    <row r="260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</row>
    <row r="26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</row>
    <row r="262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</row>
    <row r="263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</row>
    <row r="264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</row>
    <row r="265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</row>
    <row r="266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</row>
    <row r="267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</row>
    <row r="268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</row>
    <row r="269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</row>
    <row r="270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</row>
    <row r="27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</row>
    <row r="272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</row>
    <row r="273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</row>
    <row r="274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</row>
    <row r="275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</row>
    <row r="276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</row>
    <row r="277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</row>
    <row r="278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</row>
    <row r="279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</row>
    <row r="280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</row>
    <row r="28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</row>
    <row r="282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</row>
    <row r="283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</row>
    <row r="284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</row>
    <row r="285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</row>
    <row r="286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</row>
    <row r="287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</row>
    <row r="288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</row>
    <row r="289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</row>
    <row r="290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</row>
    <row r="29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</row>
    <row r="292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</row>
    <row r="293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</row>
    <row r="294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</row>
    <row r="295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</row>
    <row r="296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</row>
    <row r="297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</row>
    <row r="298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</row>
    <row r="299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</row>
    <row r="300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</row>
    <row r="30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</row>
    <row r="302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</row>
    <row r="303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</row>
    <row r="304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</row>
    <row r="305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</row>
    <row r="306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</row>
    <row r="307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</row>
    <row r="308" ht="15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</row>
    <row r="309" ht="15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</row>
    <row r="310" ht="15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</row>
    <row r="311" ht="15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</row>
    <row r="312" ht="15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</row>
    <row r="313" ht="15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</row>
    <row r="314" ht="15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</row>
    <row r="315" ht="15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</row>
    <row r="316" ht="15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</row>
    <row r="317" ht="15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</row>
    <row r="318" ht="15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</row>
    <row r="319" ht="15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</row>
    <row r="320" ht="15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</row>
    <row r="321" ht="15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</row>
    <row r="322" ht="15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</row>
    <row r="323" ht="15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</row>
    <row r="324" ht="15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</row>
    <row r="325" ht="15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</row>
    <row r="326" ht="15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</row>
    <row r="635" ht="15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</row>
    <row r="636" ht="15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</row>
    <row r="637" ht="15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</row>
    <row r="638" ht="15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</row>
    <row r="639" ht="15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</row>
    <row r="640" ht="15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</row>
    <row r="641" ht="15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</row>
    <row r="642" ht="15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</row>
    <row r="643" ht="15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</row>
    <row r="644" ht="15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</row>
    <row r="645" ht="15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</row>
    <row r="646" ht="15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</row>
    <row r="647" ht="15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</row>
    <row r="648" ht="15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</row>
    <row r="649" ht="15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</row>
    <row r="650" ht="15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</row>
    <row r="651" ht="15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</row>
    <row r="652" ht="15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</row>
    <row r="653" ht="15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</row>
    <row r="654" ht="15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</row>
    <row r="655" ht="15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</row>
    <row r="656" ht="15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</row>
    <row r="657" ht="15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</row>
    <row r="658" ht="15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</row>
    <row r="659" ht="15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</row>
    <row r="660" ht="15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</row>
    <row r="661" ht="15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</row>
    <row r="662" ht="15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</row>
    <row r="663" ht="15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</row>
    <row r="664" ht="15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</row>
    <row r="665" ht="15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</row>
    <row r="666" ht="15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</row>
    <row r="667" ht="15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</row>
    <row r="668" ht="15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</row>
    <row r="669" ht="15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</row>
    <row r="670" ht="15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</row>
    <row r="671" ht="15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</row>
    <row r="672" ht="15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</row>
    <row r="673" ht="15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</row>
    <row r="674" ht="15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</row>
    <row r="675" ht="15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</row>
    <row r="676" ht="15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</row>
    <row r="677" ht="15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</row>
    <row r="678" ht="15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</row>
    <row r="679" ht="15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</row>
    <row r="680" ht="15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</row>
    <row r="681" ht="15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</row>
    <row r="682" ht="15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</row>
    <row r="683" ht="15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</row>
    <row r="684" ht="15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</row>
    <row r="685" ht="15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</row>
    <row r="686" ht="15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</row>
    <row r="687" ht="15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</row>
    <row r="688" ht="15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</row>
    <row r="689" ht="15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</row>
    <row r="690" ht="15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</row>
    <row r="691" ht="15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</row>
    <row r="692" ht="15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</row>
    <row r="693" ht="15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</row>
    <row r="694" ht="15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</row>
    <row r="695" ht="15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</row>
    <row r="696" ht="15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</row>
    <row r="697" ht="15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</row>
    <row r="698" ht="15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</row>
    <row r="699" ht="15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</row>
    <row r="700" ht="15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</row>
    <row r="701" ht="15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</row>
    <row r="702" ht="15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</row>
    <row r="703" ht="15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</row>
    <row r="704" ht="15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</row>
    <row r="705" ht="15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</row>
    <row r="706" ht="15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</row>
    <row r="707" ht="15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</row>
    <row r="708" ht="15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</row>
    <row r="709" ht="15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</row>
    <row r="710" ht="15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</row>
    <row r="711" ht="15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</row>
    <row r="712" ht="15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</row>
    <row r="713" ht="15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</row>
    <row r="714" ht="15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</row>
    <row r="715" ht="15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</row>
    <row r="716" ht="15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</row>
    <row r="717" ht="15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</row>
    <row r="718" ht="15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</row>
    <row r="719" ht="15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</row>
    <row r="720" ht="15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</row>
    <row r="721" ht="15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</row>
    <row r="722" ht="15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</row>
    <row r="723" ht="15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</row>
    <row r="724" ht="15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</row>
    <row r="725" ht="15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</row>
    <row r="726" ht="15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</row>
    <row r="727" ht="15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</row>
    <row r="728" ht="15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</row>
    <row r="729" ht="15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</row>
    <row r="730" ht="15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</row>
    <row r="731" ht="15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</row>
    <row r="732" ht="15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</row>
    <row r="733" ht="15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</row>
    <row r="734" ht="15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</row>
    <row r="735" ht="15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</row>
    <row r="736" ht="15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</row>
    <row r="737" ht="15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</row>
    <row r="738" ht="15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</row>
    <row r="739" ht="15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</row>
    <row r="740" ht="15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</row>
    <row r="741" ht="15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</row>
    <row r="742" ht="15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</row>
    <row r="743" ht="15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</row>
    <row r="744" ht="15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</row>
    <row r="745" ht="15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</row>
    <row r="746" ht="15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</row>
    <row r="747" ht="15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</row>
    <row r="748" ht="15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</row>
    <row r="749" ht="15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</row>
    <row r="750" ht="15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</row>
    <row r="751" ht="15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</row>
    <row r="752" ht="15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</row>
    <row r="753" ht="15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</row>
    <row r="754" ht="15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</row>
    <row r="755" ht="15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</row>
    <row r="756" ht="15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</row>
    <row r="757" ht="15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</row>
    <row r="758" ht="15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</row>
    <row r="759" ht="15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</row>
    <row r="760" ht="15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</row>
    <row r="761" ht="15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</row>
    <row r="762" ht="15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</row>
    <row r="763" ht="15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</row>
    <row r="764" ht="15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</row>
    <row r="765" ht="15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</row>
    <row r="766" ht="15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</row>
    <row r="767" ht="15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</row>
    <row r="768" ht="15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</row>
    <row r="769" ht="15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</row>
    <row r="770" ht="15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</row>
    <row r="771" ht="15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</row>
    <row r="772" ht="15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</row>
    <row r="773" ht="15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</row>
    <row r="774" ht="15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</row>
    <row r="775" ht="15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</row>
    <row r="776" ht="15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</row>
    <row r="777" ht="15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</row>
    <row r="778" ht="15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</row>
    <row r="779" ht="15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</row>
    <row r="780" ht="15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</row>
    <row r="781" ht="15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</row>
    <row r="782" ht="15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</row>
    <row r="783" ht="15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</row>
    <row r="784" ht="15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</row>
    <row r="785" ht="15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</row>
    <row r="786" ht="15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</row>
    <row r="787" ht="15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</row>
    <row r="788" ht="15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</row>
    <row r="789" ht="15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</row>
    <row r="790" ht="15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</row>
    <row r="791" ht="15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</row>
    <row r="792" ht="15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</row>
    <row r="793" ht="15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</row>
    <row r="794" ht="15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</row>
    <row r="795" ht="15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</row>
    <row r="796" ht="15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</row>
    <row r="797" ht="15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</row>
    <row r="798" ht="15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</row>
    <row r="799" ht="15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</row>
    <row r="800" ht="15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</row>
    <row r="801" ht="15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</row>
    <row r="802" ht="15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</row>
    <row r="803" ht="15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</row>
    <row r="804" ht="15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</row>
    <row r="805" ht="15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</row>
    <row r="806" ht="15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</row>
    <row r="807" ht="15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</row>
    <row r="808" ht="15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</row>
    <row r="809" ht="15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</row>
    <row r="810" ht="15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</row>
    <row r="811" ht="15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</row>
    <row r="812" ht="15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</row>
    <row r="813" ht="15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</row>
    <row r="814" ht="15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</row>
    <row r="815" ht="15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</row>
    <row r="816" ht="15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</row>
    <row r="817" ht="15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</row>
    <row r="818" ht="15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</row>
    <row r="819" ht="15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</row>
    <row r="820" ht="15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</row>
    <row r="821" ht="15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</row>
    <row r="822" ht="15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</row>
    <row r="823" ht="15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</row>
    <row r="824" ht="15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</row>
    <row r="825" ht="15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</row>
    <row r="826" ht="15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</row>
    <row r="827" ht="15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</row>
    <row r="828" ht="15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</row>
    <row r="829" ht="15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</row>
    <row r="830" ht="15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</row>
    <row r="831" ht="15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</row>
    <row r="832" ht="15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</row>
    <row r="833" ht="15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</row>
    <row r="834" ht="15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</row>
    <row r="835" ht="15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</row>
    <row r="836" ht="15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</row>
    <row r="837" ht="15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</row>
    <row r="838" ht="15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</row>
    <row r="839" ht="15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</row>
    <row r="840" ht="15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</row>
    <row r="841" ht="15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</row>
    <row r="842" ht="15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</row>
    <row r="843" ht="15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</row>
    <row r="844" ht="15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</row>
    <row r="845" ht="15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</row>
    <row r="846" ht="15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</row>
    <row r="847" ht="15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</row>
    <row r="848" ht="15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</row>
    <row r="849" ht="15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</row>
    <row r="850" ht="15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</row>
    <row r="851" ht="15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</row>
    <row r="852" ht="15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</row>
    <row r="853" ht="15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</row>
    <row r="854" ht="15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</row>
    <row r="855" ht="15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</row>
    <row r="856" ht="15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</row>
    <row r="857" ht="15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</row>
    <row r="858" ht="15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</row>
    <row r="859" ht="15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</row>
    <row r="860" ht="15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</row>
    <row r="861" ht="15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</row>
    <row r="862" ht="15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</row>
    <row r="863" ht="15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</row>
    <row r="864" ht="15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</row>
    <row r="865" ht="15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</row>
    <row r="866" ht="15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</row>
    <row r="867" ht="15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</row>
    <row r="868" ht="15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</row>
    <row r="869" ht="15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</row>
    <row r="870" ht="15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</row>
    <row r="871" ht="15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</row>
    <row r="872" ht="15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</row>
    <row r="873" ht="15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</row>
    <row r="874" ht="15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</row>
    <row r="875" ht="15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</row>
    <row r="876" ht="15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</row>
    <row r="877" ht="15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</row>
    <row r="878" ht="15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</row>
    <row r="879" ht="15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</row>
    <row r="880" ht="15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</row>
    <row r="881" ht="15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</row>
    <row r="882" ht="15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</row>
    <row r="883" ht="15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</row>
    <row r="884" ht="15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</row>
    <row r="885" ht="15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</row>
    <row r="886" ht="15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</row>
    <row r="887" ht="15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</row>
    <row r="888" ht="15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</row>
    <row r="889" ht="15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</row>
    <row r="890" ht="15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</row>
    <row r="891" ht="15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</row>
    <row r="892" ht="15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</row>
    <row r="893" ht="15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</row>
    <row r="894" ht="15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</row>
    <row r="895" ht="15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</row>
    <row r="896" ht="15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</row>
    <row r="897" ht="15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</row>
    <row r="898" ht="15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</row>
    <row r="899" ht="15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</row>
    <row r="900" ht="15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</row>
    <row r="901" ht="15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</row>
    <row r="902" ht="15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</row>
    <row r="903" ht="15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</row>
    <row r="904" ht="15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</row>
    <row r="905" ht="15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</row>
    <row r="906" ht="15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</row>
    <row r="907" ht="15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</row>
    <row r="908" ht="15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</row>
    <row r="909" ht="15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</row>
    <row r="910" ht="15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</row>
    <row r="911" ht="15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</row>
    <row r="912" ht="15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</row>
    <row r="913" ht="15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</row>
    <row r="914" ht="15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</row>
    <row r="915" ht="15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</row>
    <row r="916" ht="15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</row>
    <row r="917" ht="15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</row>
    <row r="918" ht="15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</row>
    <row r="919" ht="15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</row>
    <row r="920" ht="15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</row>
    <row r="921" ht="15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</row>
    <row r="922" ht="15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</row>
    <row r="923" ht="15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</row>
    <row r="924" ht="15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</row>
    <row r="925" ht="15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</row>
    <row r="926" ht="15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</row>
    <row r="927" ht="15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</row>
    <row r="928" ht="15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</row>
    <row r="929" ht="15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</row>
    <row r="930" ht="15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</row>
    <row r="931" ht="15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</row>
    <row r="932" ht="15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</row>
    <row r="933" ht="15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</row>
    <row r="934" ht="15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</row>
    <row r="935" ht="15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</row>
    <row r="936" ht="15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</row>
    <row r="937" ht="15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</row>
    <row r="938" ht="15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</row>
    <row r="939" ht="15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</row>
    <row r="940" ht="15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</row>
    <row r="941" ht="15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</row>
    <row r="942" ht="15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</row>
    <row r="943" ht="15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</row>
    <row r="944" ht="15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</row>
    <row r="945" ht="15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</row>
    <row r="946" ht="15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</row>
    <row r="947" ht="15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</row>
    <row r="948" ht="15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</row>
    <row r="949" ht="15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</row>
    <row r="950" ht="15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</row>
    <row r="951" ht="15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</row>
    <row r="952" ht="15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</row>
    <row r="953" ht="15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</row>
    <row r="954" ht="15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</row>
    <row r="955" ht="15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</row>
    <row r="956" ht="15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</row>
    <row r="957" ht="15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</row>
    <row r="958" ht="15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</row>
    <row r="959" ht="15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</row>
    <row r="960" ht="15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</row>
    <row r="961" ht="15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</row>
    <row r="962" ht="15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</row>
    <row r="963" ht="15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</row>
    <row r="964" ht="15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</row>
    <row r="965" ht="15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</row>
    <row r="966" ht="15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</row>
    <row r="967" ht="15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</row>
    <row r="968" ht="15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</row>
    <row r="969" ht="15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</row>
    <row r="970" ht="15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</row>
    <row r="971" ht="15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</row>
    <row r="972" ht="15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</row>
    <row r="973" ht="15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</row>
    <row r="974" ht="15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</row>
    <row r="975" ht="15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</row>
    <row r="976" ht="15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</row>
    <row r="977" ht="15.7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</row>
    <row r="978" ht="15.7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</row>
    <row r="979" ht="15.7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</row>
    <row r="980" ht="15.7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</row>
    <row r="981" ht="15.7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</row>
    <row r="982" ht="15.7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</row>
    <row r="983" ht="15.7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</row>
    <row r="984" ht="15.7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</row>
    <row r="985" ht="15.7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</row>
    <row r="986" ht="15.7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</row>
    <row r="987" ht="15.7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</row>
    <row r="988" ht="15.7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</row>
    <row r="989" ht="15.7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</row>
    <row r="990" ht="15.7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</row>
    <row r="991" ht="15.7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</row>
    <row r="992" ht="15.7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</row>
    <row r="993" ht="15.7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</row>
    <row r="994" ht="15.7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</row>
    <row r="995" ht="15.7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</row>
    <row r="996" ht="15.7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</row>
    <row r="997" ht="15.7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</row>
    <row r="998" ht="15.7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</row>
    <row r="999" ht="15.7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</row>
    <row r="1000" ht="15.7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34.0"/>
    <col customWidth="1" min="2" max="7" width="16.0"/>
    <col customWidth="1" min="8" max="26" width="8.71"/>
  </cols>
  <sheetData>
    <row r="1" ht="17.25" customHeight="1">
      <c r="A1" s="1" t="s">
        <v>35</v>
      </c>
      <c r="B1" s="11"/>
      <c r="C1" s="11"/>
      <c r="D1" s="11"/>
      <c r="E1" s="11"/>
      <c r="F1" s="11"/>
      <c r="G1" s="11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4.75" customHeight="1">
      <c r="A2" s="5" t="s">
        <v>36</v>
      </c>
      <c r="B2" s="11"/>
      <c r="C2" s="11"/>
      <c r="D2" s="11"/>
      <c r="E2" s="11"/>
      <c r="F2" s="11"/>
      <c r="G2" s="11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7.25" customHeight="1">
      <c r="A3" s="6"/>
      <c r="B3" s="12">
        <v>2020.0</v>
      </c>
      <c r="C3" s="12">
        <v>2021.0</v>
      </c>
      <c r="D3" s="12">
        <v>2022.0</v>
      </c>
      <c r="E3" s="12">
        <v>2023.0</v>
      </c>
      <c r="F3" s="12">
        <v>2024.0</v>
      </c>
      <c r="G3" s="12">
        <v>2025.0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7.25" customHeight="1">
      <c r="A4" s="13" t="s">
        <v>37</v>
      </c>
      <c r="B4" s="14">
        <v>20469.0</v>
      </c>
      <c r="C4" s="14">
        <v>23795.0</v>
      </c>
      <c r="D4" s="14">
        <v>28590.0</v>
      </c>
      <c r="E4" s="14">
        <v>28343.0</v>
      </c>
      <c r="F4" s="14">
        <v>27193.0</v>
      </c>
      <c r="G4" s="14">
        <v>25992.1770495612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7.25" customHeight="1">
      <c r="A5" s="13" t="s">
        <v>38</v>
      </c>
      <c r="B5" s="15">
        <v>-0.152</v>
      </c>
      <c r="C5" s="15">
        <f t="shared" ref="C5:G5" si="1">(C4-B4)/B4</f>
        <v>0.1624896184</v>
      </c>
      <c r="D5" s="15">
        <f t="shared" si="1"/>
        <v>0.2015129229</v>
      </c>
      <c r="E5" s="15">
        <f t="shared" si="1"/>
        <v>-0.0086393844</v>
      </c>
      <c r="F5" s="15">
        <f t="shared" si="1"/>
        <v>-0.04057439227</v>
      </c>
      <c r="G5" s="15">
        <f t="shared" si="1"/>
        <v>-0.04415926711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7.25" customHeight="1">
      <c r="A6" s="13" t="s">
        <v>39</v>
      </c>
      <c r="B6" s="14">
        <v>3631.0</v>
      </c>
      <c r="C6" s="14">
        <v>4700.0</v>
      </c>
      <c r="D6" s="14">
        <v>5262.0</v>
      </c>
      <c r="E6" s="14">
        <v>5489.0</v>
      </c>
      <c r="F6" s="14">
        <v>5361.03125847017</v>
      </c>
      <c r="G6" s="14">
        <v>4662.71205215706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7.25" customHeight="1">
      <c r="A7" s="13" t="s">
        <v>40</v>
      </c>
      <c r="B7" s="15">
        <f t="shared" ref="B7:G7" si="2">B6/B4</f>
        <v>0.1773901998</v>
      </c>
      <c r="C7" s="15">
        <f t="shared" si="2"/>
        <v>0.1975204875</v>
      </c>
      <c r="D7" s="15">
        <f t="shared" si="2"/>
        <v>0.1840503673</v>
      </c>
      <c r="E7" s="15">
        <f t="shared" si="2"/>
        <v>0.1936633384</v>
      </c>
      <c r="F7" s="15">
        <f t="shared" si="2"/>
        <v>0.1971474739</v>
      </c>
      <c r="G7" s="15">
        <f t="shared" si="2"/>
        <v>0.179389054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7.25" customHeight="1">
      <c r="A8" s="13" t="s">
        <v>41</v>
      </c>
      <c r="B8" s="14">
        <v>1878.0</v>
      </c>
      <c r="C8" s="14">
        <v>2966.0</v>
      </c>
      <c r="D8" s="14">
        <v>3396.0</v>
      </c>
      <c r="E8" s="14">
        <v>3572.0</v>
      </c>
      <c r="F8" s="14">
        <v>3378.0</v>
      </c>
      <c r="G8" s="14">
        <v>2719.218638651149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7.25" customHeight="1">
      <c r="A9" s="13" t="s">
        <v>42</v>
      </c>
      <c r="B9" s="16">
        <f t="shared" ref="B9:G9" si="3">B8/B4</f>
        <v>0.09174849773</v>
      </c>
      <c r="C9" s="16">
        <f t="shared" si="3"/>
        <v>0.1246480353</v>
      </c>
      <c r="D9" s="16">
        <f t="shared" si="3"/>
        <v>0.1187827912</v>
      </c>
      <c r="E9" s="16">
        <f t="shared" si="3"/>
        <v>0.1260275906</v>
      </c>
      <c r="F9" s="16">
        <f t="shared" si="3"/>
        <v>0.1242231457</v>
      </c>
      <c r="G9" s="16">
        <f t="shared" si="3"/>
        <v>0.1046168096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7.25" customHeight="1">
      <c r="A10" s="13" t="s">
        <v>43</v>
      </c>
      <c r="B10" s="14">
        <v>1403.0</v>
      </c>
      <c r="C10" s="14">
        <v>2777.0</v>
      </c>
      <c r="D10" s="14">
        <v>3021.0</v>
      </c>
      <c r="E10" s="14">
        <v>2652.0</v>
      </c>
      <c r="F10" s="14">
        <v>2631.0</v>
      </c>
      <c r="G10" s="14">
        <v>2366.12937876237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7.25" customHeight="1">
      <c r="A11" s="13" t="s">
        <v>44</v>
      </c>
      <c r="B11" s="14">
        <v>625.0</v>
      </c>
      <c r="C11" s="14">
        <v>1845.0</v>
      </c>
      <c r="D11" s="14">
        <v>2009.0</v>
      </c>
      <c r="E11" s="14">
        <v>1983.0</v>
      </c>
      <c r="F11" s="14">
        <v>1890.0</v>
      </c>
      <c r="G11" s="14">
        <v>1663.96797692861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7.25" customHeight="1">
      <c r="A12" s="13" t="s">
        <v>45</v>
      </c>
      <c r="B12" s="15">
        <f t="shared" ref="B12:G12" si="4">B11/B4</f>
        <v>0.03053397821</v>
      </c>
      <c r="C12" s="15">
        <f t="shared" si="4"/>
        <v>0.07753729775</v>
      </c>
      <c r="D12" s="15">
        <f t="shared" si="4"/>
        <v>0.07026932494</v>
      </c>
      <c r="E12" s="15">
        <f t="shared" si="4"/>
        <v>0.0699643651</v>
      </c>
      <c r="F12" s="15">
        <f t="shared" si="4"/>
        <v>0.06950318097</v>
      </c>
      <c r="G12" s="15">
        <f t="shared" si="4"/>
        <v>0.06401803026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7.25" customHeight="1">
      <c r="A13" s="13" t="s">
        <v>46</v>
      </c>
      <c r="B13" s="14">
        <v>3366.0</v>
      </c>
      <c r="C13" s="14">
        <v>2906.0</v>
      </c>
      <c r="D13" s="14">
        <v>1931.0</v>
      </c>
      <c r="E13" s="14">
        <v>5287.0</v>
      </c>
      <c r="F13" s="14">
        <v>4336.0</v>
      </c>
      <c r="G13" s="14">
        <v>3819.414178391924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7.25" customHeight="1">
      <c r="A14" s="13" t="s">
        <v>47</v>
      </c>
      <c r="B14" s="14">
        <v>1221.0</v>
      </c>
      <c r="C14" s="14">
        <v>1705.0</v>
      </c>
      <c r="D14" s="14">
        <v>2141.0</v>
      </c>
      <c r="E14" s="14">
        <v>2236.0</v>
      </c>
      <c r="F14" s="14">
        <v>2182.0</v>
      </c>
      <c r="G14" s="14">
        <v>1967.0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7.25" customHeight="1">
      <c r="A15" s="13" t="s">
        <v>48</v>
      </c>
      <c r="B15" s="15">
        <f t="shared" ref="B15:G15" si="5">B14/B4</f>
        <v>0.05965117983</v>
      </c>
      <c r="C15" s="15">
        <f t="shared" si="5"/>
        <v>0.07165370876</v>
      </c>
      <c r="D15" s="15">
        <f t="shared" si="5"/>
        <v>0.07488632389</v>
      </c>
      <c r="E15" s="15">
        <f t="shared" si="5"/>
        <v>0.0788907314</v>
      </c>
      <c r="F15" s="15">
        <f t="shared" si="5"/>
        <v>0.08024123855</v>
      </c>
      <c r="G15" s="15">
        <f t="shared" si="5"/>
        <v>0.07567661594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7.25" customHeight="1">
      <c r="A16" s="13" t="s">
        <v>49</v>
      </c>
      <c r="B16" s="14">
        <v>2004.0</v>
      </c>
      <c r="C16" s="14">
        <v>1357.0</v>
      </c>
      <c r="D16" s="14">
        <v>-180.3</v>
      </c>
      <c r="E16" s="14">
        <v>2342.8</v>
      </c>
      <c r="F16" s="14">
        <v>2225.4</v>
      </c>
      <c r="G16" s="14">
        <v>2181.0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7.25" customHeight="1">
      <c r="A17" s="13" t="s">
        <v>50</v>
      </c>
      <c r="B17" s="15">
        <f t="shared" ref="B17:G17" si="6">B16/B4</f>
        <v>0.09790414774</v>
      </c>
      <c r="C17" s="15">
        <f t="shared" si="6"/>
        <v>0.05702878756</v>
      </c>
      <c r="D17" s="15">
        <f t="shared" si="6"/>
        <v>-0.006306400839</v>
      </c>
      <c r="E17" s="15">
        <f t="shared" si="6"/>
        <v>0.08265885757</v>
      </c>
      <c r="F17" s="15">
        <f t="shared" si="6"/>
        <v>0.08183723752</v>
      </c>
      <c r="G17" s="15">
        <f t="shared" si="6"/>
        <v>0.08390986241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7.25" customHeight="1">
      <c r="A18" s="13" t="s">
        <v>51</v>
      </c>
      <c r="B18" s="14">
        <v>3531.0</v>
      </c>
      <c r="C18" s="14">
        <v>2789.0</v>
      </c>
      <c r="D18" s="14">
        <v>4320.0</v>
      </c>
      <c r="E18" s="14">
        <v>3280.8</v>
      </c>
      <c r="F18" s="14">
        <v>3112.0</v>
      </c>
      <c r="G18" s="14">
        <v>2345.0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7.25" customHeight="1">
      <c r="A19" s="13" t="s">
        <v>52</v>
      </c>
      <c r="B19" s="17">
        <f t="shared" ref="B19:G19" si="7">B18/B6</f>
        <v>0.9724593776</v>
      </c>
      <c r="C19" s="17">
        <f t="shared" si="7"/>
        <v>0.5934042553</v>
      </c>
      <c r="D19" s="17">
        <f t="shared" si="7"/>
        <v>0.8209806157</v>
      </c>
      <c r="E19" s="17">
        <f t="shared" si="7"/>
        <v>0.5977044999</v>
      </c>
      <c r="F19" s="17">
        <f t="shared" si="7"/>
        <v>0.5804853301</v>
      </c>
      <c r="G19" s="17">
        <f t="shared" si="7"/>
        <v>0.5029261884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18"/>
      <c r="C20" s="18"/>
      <c r="D20" s="18"/>
      <c r="E20" s="18"/>
      <c r="F20" s="18"/>
      <c r="G20" s="18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15.75" customHeight="1">
      <c r="A21" s="4"/>
      <c r="B21" s="18"/>
      <c r="C21" s="18"/>
      <c r="D21" s="18"/>
      <c r="E21" s="18"/>
      <c r="F21" s="18"/>
      <c r="G21" s="18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15.75" customHeight="1">
      <c r="A22" s="4"/>
      <c r="B22" s="18"/>
      <c r="C22" s="18"/>
      <c r="D22" s="18"/>
      <c r="E22" s="18"/>
      <c r="F22" s="18"/>
      <c r="G22" s="18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15.75" customHeight="1">
      <c r="A23" s="4"/>
      <c r="B23" s="18"/>
      <c r="C23" s="18"/>
      <c r="D23" s="18"/>
      <c r="E23" s="18"/>
      <c r="F23" s="18"/>
      <c r="G23" s="18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5.75" customHeight="1">
      <c r="A24" s="4"/>
      <c r="B24" s="18"/>
      <c r="C24" s="18"/>
      <c r="D24" s="18"/>
      <c r="E24" s="18"/>
      <c r="F24" s="18"/>
      <c r="G24" s="18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5.75" customHeight="1">
      <c r="A25" s="4"/>
      <c r="B25" s="18"/>
      <c r="C25" s="18"/>
      <c r="D25" s="18"/>
      <c r="E25" s="18"/>
      <c r="F25" s="18"/>
      <c r="G25" s="18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5.75" customHeight="1">
      <c r="A26" s="4"/>
      <c r="B26" s="18"/>
      <c r="C26" s="18"/>
      <c r="D26" s="18"/>
      <c r="E26" s="18"/>
      <c r="F26" s="18"/>
      <c r="G26" s="18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5.75" customHeight="1">
      <c r="A27" s="4"/>
      <c r="B27" s="18"/>
      <c r="C27" s="18"/>
      <c r="D27" s="18"/>
      <c r="E27" s="18"/>
      <c r="F27" s="18"/>
      <c r="G27" s="18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5.75" customHeight="1">
      <c r="A28" s="4"/>
      <c r="B28" s="18"/>
      <c r="C28" s="18"/>
      <c r="D28" s="18"/>
      <c r="E28" s="18"/>
      <c r="F28" s="18"/>
      <c r="G28" s="18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5.75" customHeight="1">
      <c r="A29" s="4"/>
      <c r="B29" s="18"/>
      <c r="C29" s="18"/>
      <c r="D29" s="18"/>
      <c r="E29" s="18"/>
      <c r="F29" s="18"/>
      <c r="G29" s="18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5.75" customHeight="1">
      <c r="A30" s="4"/>
      <c r="B30" s="18"/>
      <c r="C30" s="18"/>
      <c r="D30" s="18"/>
      <c r="E30" s="18"/>
      <c r="F30" s="18"/>
      <c r="G30" s="18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5.75" customHeight="1">
      <c r="A31" s="4"/>
      <c r="B31" s="18"/>
      <c r="C31" s="18"/>
      <c r="D31" s="18"/>
      <c r="E31" s="18"/>
      <c r="F31" s="18"/>
      <c r="G31" s="18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5.75" customHeight="1">
      <c r="A32" s="4"/>
      <c r="B32" s="18"/>
      <c r="C32" s="18"/>
      <c r="D32" s="18"/>
      <c r="E32" s="18"/>
      <c r="F32" s="18"/>
      <c r="G32" s="18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5.75" customHeight="1">
      <c r="A33" s="4"/>
      <c r="B33" s="18"/>
      <c r="C33" s="18"/>
      <c r="D33" s="18"/>
      <c r="E33" s="18"/>
      <c r="F33" s="18"/>
      <c r="G33" s="18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5.75" customHeight="1">
      <c r="A34" s="4"/>
      <c r="B34" s="18"/>
      <c r="C34" s="18"/>
      <c r="D34" s="18"/>
      <c r="E34" s="18"/>
      <c r="F34" s="18"/>
      <c r="G34" s="18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5.75" customHeight="1">
      <c r="A35" s="4"/>
      <c r="B35" s="18"/>
      <c r="C35" s="18"/>
      <c r="D35" s="18"/>
      <c r="E35" s="18"/>
      <c r="F35" s="18"/>
      <c r="G35" s="18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5.75" customHeight="1">
      <c r="A36" s="4"/>
      <c r="B36" s="18"/>
      <c r="C36" s="18"/>
      <c r="D36" s="18"/>
      <c r="E36" s="18"/>
      <c r="F36" s="18"/>
      <c r="G36" s="18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5.75" customHeight="1">
      <c r="A37" s="4"/>
      <c r="B37" s="18"/>
      <c r="C37" s="18"/>
      <c r="D37" s="18"/>
      <c r="E37" s="18"/>
      <c r="F37" s="18"/>
      <c r="G37" s="18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5.75" customHeight="1">
      <c r="A38" s="4"/>
      <c r="B38" s="18"/>
      <c r="C38" s="18"/>
      <c r="D38" s="18"/>
      <c r="E38" s="18"/>
      <c r="F38" s="18"/>
      <c r="G38" s="18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5.75" customHeight="1">
      <c r="A39" s="4"/>
      <c r="B39" s="18"/>
      <c r="C39" s="18"/>
      <c r="D39" s="18"/>
      <c r="E39" s="18"/>
      <c r="F39" s="18"/>
      <c r="G39" s="18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5.75" customHeight="1">
      <c r="A40" s="4"/>
      <c r="B40" s="18"/>
      <c r="C40" s="18"/>
      <c r="D40" s="18"/>
      <c r="E40" s="18"/>
      <c r="F40" s="18"/>
      <c r="G40" s="18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5.75" customHeight="1">
      <c r="A41" s="4"/>
      <c r="B41" s="18"/>
      <c r="C41" s="18"/>
      <c r="D41" s="18"/>
      <c r="E41" s="18"/>
      <c r="F41" s="18"/>
      <c r="G41" s="18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5.75" customHeight="1">
      <c r="A42" s="4"/>
      <c r="B42" s="18"/>
      <c r="C42" s="18"/>
      <c r="D42" s="18"/>
      <c r="E42" s="18"/>
      <c r="F42" s="18"/>
      <c r="G42" s="18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5.75" customHeight="1">
      <c r="A43" s="4"/>
      <c r="B43" s="18"/>
      <c r="C43" s="18"/>
      <c r="D43" s="18"/>
      <c r="E43" s="18"/>
      <c r="F43" s="18"/>
      <c r="G43" s="18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5.75" customHeight="1">
      <c r="A44" s="4"/>
      <c r="B44" s="18"/>
      <c r="C44" s="18"/>
      <c r="D44" s="18"/>
      <c r="E44" s="18"/>
      <c r="F44" s="18"/>
      <c r="G44" s="18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5.75" customHeight="1">
      <c r="A45" s="4"/>
      <c r="B45" s="18"/>
      <c r="C45" s="18"/>
      <c r="D45" s="18"/>
      <c r="E45" s="18"/>
      <c r="F45" s="18"/>
      <c r="G45" s="18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5.75" customHeight="1">
      <c r="A46" s="4"/>
      <c r="B46" s="18"/>
      <c r="C46" s="18"/>
      <c r="D46" s="18"/>
      <c r="E46" s="18"/>
      <c r="F46" s="18"/>
      <c r="G46" s="18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5.75" customHeight="1">
      <c r="A47" s="4"/>
      <c r="B47" s="18"/>
      <c r="C47" s="18"/>
      <c r="D47" s="18"/>
      <c r="E47" s="18"/>
      <c r="F47" s="18"/>
      <c r="G47" s="18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5.75" customHeight="1">
      <c r="A48" s="4"/>
      <c r="B48" s="18"/>
      <c r="C48" s="18"/>
      <c r="D48" s="18"/>
      <c r="E48" s="18"/>
      <c r="F48" s="18"/>
      <c r="G48" s="18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5.75" customHeight="1">
      <c r="A49" s="4"/>
      <c r="B49" s="18"/>
      <c r="C49" s="18"/>
      <c r="D49" s="18"/>
      <c r="E49" s="18"/>
      <c r="F49" s="18"/>
      <c r="G49" s="18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5.75" customHeight="1">
      <c r="A50" s="4"/>
      <c r="B50" s="18"/>
      <c r="C50" s="18"/>
      <c r="D50" s="18"/>
      <c r="E50" s="18"/>
      <c r="F50" s="18"/>
      <c r="G50" s="18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5.75" customHeight="1">
      <c r="A51" s="4"/>
      <c r="B51" s="18"/>
      <c r="C51" s="18"/>
      <c r="D51" s="18"/>
      <c r="E51" s="18"/>
      <c r="F51" s="18"/>
      <c r="G51" s="18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5.75" customHeight="1">
      <c r="A52" s="4"/>
      <c r="B52" s="18"/>
      <c r="C52" s="18"/>
      <c r="D52" s="18"/>
      <c r="E52" s="18"/>
      <c r="F52" s="18"/>
      <c r="G52" s="18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5.75" customHeight="1">
      <c r="A53" s="4"/>
      <c r="B53" s="18"/>
      <c r="C53" s="18"/>
      <c r="D53" s="18"/>
      <c r="E53" s="18"/>
      <c r="F53" s="18"/>
      <c r="G53" s="18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5.75" customHeight="1">
      <c r="A54" s="4"/>
      <c r="B54" s="18"/>
      <c r="C54" s="18"/>
      <c r="D54" s="18"/>
      <c r="E54" s="18"/>
      <c r="F54" s="18"/>
      <c r="G54" s="18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5.75" customHeight="1">
      <c r="A55" s="4"/>
      <c r="B55" s="18"/>
      <c r="C55" s="18"/>
      <c r="D55" s="18"/>
      <c r="E55" s="18"/>
      <c r="F55" s="18"/>
      <c r="G55" s="18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5.75" customHeight="1">
      <c r="A56" s="4"/>
      <c r="B56" s="18"/>
      <c r="C56" s="18"/>
      <c r="D56" s="18"/>
      <c r="E56" s="18"/>
      <c r="F56" s="18"/>
      <c r="G56" s="18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5.75" customHeight="1">
      <c r="A57" s="4"/>
      <c r="B57" s="18"/>
      <c r="C57" s="18"/>
      <c r="D57" s="18"/>
      <c r="E57" s="18"/>
      <c r="F57" s="18"/>
      <c r="G57" s="18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5.75" customHeight="1">
      <c r="A58" s="4"/>
      <c r="B58" s="18"/>
      <c r="C58" s="18"/>
      <c r="D58" s="18"/>
      <c r="E58" s="18"/>
      <c r="F58" s="18"/>
      <c r="G58" s="18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5.75" customHeight="1">
      <c r="A59" s="4"/>
      <c r="B59" s="18"/>
      <c r="C59" s="18"/>
      <c r="D59" s="18"/>
      <c r="E59" s="18"/>
      <c r="F59" s="18"/>
      <c r="G59" s="18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5.75" customHeight="1">
      <c r="A60" s="4"/>
      <c r="B60" s="18"/>
      <c r="C60" s="18"/>
      <c r="D60" s="18"/>
      <c r="E60" s="18"/>
      <c r="F60" s="18"/>
      <c r="G60" s="18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5.75" customHeight="1">
      <c r="A61" s="4"/>
      <c r="B61" s="18"/>
      <c r="C61" s="18"/>
      <c r="D61" s="18"/>
      <c r="E61" s="18"/>
      <c r="F61" s="18"/>
      <c r="G61" s="18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5.75" customHeight="1">
      <c r="A62" s="4"/>
      <c r="B62" s="18"/>
      <c r="C62" s="18"/>
      <c r="D62" s="18"/>
      <c r="E62" s="18"/>
      <c r="F62" s="18"/>
      <c r="G62" s="18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5.75" customHeight="1">
      <c r="A63" s="4"/>
      <c r="B63" s="18"/>
      <c r="C63" s="18"/>
      <c r="D63" s="18"/>
      <c r="E63" s="18"/>
      <c r="F63" s="18"/>
      <c r="G63" s="18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5.75" customHeight="1">
      <c r="A64" s="4"/>
      <c r="B64" s="18"/>
      <c r="C64" s="18"/>
      <c r="D64" s="18"/>
      <c r="E64" s="18"/>
      <c r="F64" s="18"/>
      <c r="G64" s="18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5.75" customHeight="1">
      <c r="A65" s="4"/>
      <c r="B65" s="18"/>
      <c r="C65" s="18"/>
      <c r="D65" s="18"/>
      <c r="E65" s="18"/>
      <c r="F65" s="18"/>
      <c r="G65" s="18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5.75" customHeight="1">
      <c r="A66" s="4"/>
      <c r="B66" s="18"/>
      <c r="C66" s="18"/>
      <c r="D66" s="18"/>
      <c r="E66" s="18"/>
      <c r="F66" s="18"/>
      <c r="G66" s="18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5.75" customHeight="1">
      <c r="A67" s="4"/>
      <c r="B67" s="18"/>
      <c r="C67" s="18"/>
      <c r="D67" s="18"/>
      <c r="E67" s="18"/>
      <c r="F67" s="18"/>
      <c r="G67" s="18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5.75" customHeight="1">
      <c r="A68" s="4"/>
      <c r="B68" s="18"/>
      <c r="C68" s="18"/>
      <c r="D68" s="18"/>
      <c r="E68" s="18"/>
      <c r="F68" s="18"/>
      <c r="G68" s="18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5.75" customHeight="1">
      <c r="A69" s="4"/>
      <c r="B69" s="18"/>
      <c r="C69" s="18"/>
      <c r="D69" s="18"/>
      <c r="E69" s="18"/>
      <c r="F69" s="18"/>
      <c r="G69" s="18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5.75" customHeight="1">
      <c r="A70" s="4"/>
      <c r="B70" s="18"/>
      <c r="C70" s="18"/>
      <c r="D70" s="18"/>
      <c r="E70" s="18"/>
      <c r="F70" s="18"/>
      <c r="G70" s="18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5.75" customHeight="1">
      <c r="A71" s="4"/>
      <c r="B71" s="18"/>
      <c r="C71" s="18"/>
      <c r="D71" s="18"/>
      <c r="E71" s="18"/>
      <c r="F71" s="18"/>
      <c r="G71" s="18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5.75" customHeight="1">
      <c r="A72" s="4"/>
      <c r="B72" s="18"/>
      <c r="C72" s="18"/>
      <c r="D72" s="18"/>
      <c r="E72" s="18"/>
      <c r="F72" s="18"/>
      <c r="G72" s="18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5.75" customHeight="1">
      <c r="A73" s="4"/>
      <c r="B73" s="18"/>
      <c r="C73" s="18"/>
      <c r="D73" s="18"/>
      <c r="E73" s="18"/>
      <c r="F73" s="18"/>
      <c r="G73" s="18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5.75" customHeight="1">
      <c r="A74" s="4"/>
      <c r="B74" s="18"/>
      <c r="C74" s="18"/>
      <c r="D74" s="18"/>
      <c r="E74" s="18"/>
      <c r="F74" s="18"/>
      <c r="G74" s="18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5.75" customHeight="1">
      <c r="A75" s="4"/>
      <c r="B75" s="18"/>
      <c r="C75" s="18"/>
      <c r="D75" s="18"/>
      <c r="E75" s="18"/>
      <c r="F75" s="18"/>
      <c r="G75" s="18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5.75" customHeight="1">
      <c r="A76" s="4"/>
      <c r="B76" s="18"/>
      <c r="C76" s="18"/>
      <c r="D76" s="18"/>
      <c r="E76" s="18"/>
      <c r="F76" s="18"/>
      <c r="G76" s="18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5.75" customHeight="1">
      <c r="A77" s="4"/>
      <c r="B77" s="18"/>
      <c r="C77" s="18"/>
      <c r="D77" s="18"/>
      <c r="E77" s="18"/>
      <c r="F77" s="18"/>
      <c r="G77" s="18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5.75" customHeight="1">
      <c r="A78" s="4"/>
      <c r="B78" s="18"/>
      <c r="C78" s="18"/>
      <c r="D78" s="18"/>
      <c r="E78" s="18"/>
      <c r="F78" s="18"/>
      <c r="G78" s="18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5.75" customHeight="1">
      <c r="A79" s="4"/>
      <c r="B79" s="18"/>
      <c r="C79" s="18"/>
      <c r="D79" s="18"/>
      <c r="E79" s="18"/>
      <c r="F79" s="18"/>
      <c r="G79" s="18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5.75" customHeight="1">
      <c r="A80" s="4"/>
      <c r="B80" s="18"/>
      <c r="C80" s="18"/>
      <c r="D80" s="18"/>
      <c r="E80" s="18"/>
      <c r="F80" s="18"/>
      <c r="G80" s="18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5.75" customHeight="1">
      <c r="A81" s="4"/>
      <c r="B81" s="18"/>
      <c r="C81" s="18"/>
      <c r="D81" s="18"/>
      <c r="E81" s="18"/>
      <c r="F81" s="18"/>
      <c r="G81" s="18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5.75" customHeight="1">
      <c r="A82" s="4"/>
      <c r="B82" s="18"/>
      <c r="C82" s="18"/>
      <c r="D82" s="18"/>
      <c r="E82" s="18"/>
      <c r="F82" s="18"/>
      <c r="G82" s="18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5.75" customHeight="1">
      <c r="A83" s="4"/>
      <c r="B83" s="18"/>
      <c r="C83" s="18"/>
      <c r="D83" s="18"/>
      <c r="E83" s="18"/>
      <c r="F83" s="18"/>
      <c r="G83" s="18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5.75" customHeight="1">
      <c r="A84" s="4"/>
      <c r="B84" s="18"/>
      <c r="C84" s="18"/>
      <c r="D84" s="18"/>
      <c r="E84" s="18"/>
      <c r="F84" s="18"/>
      <c r="G84" s="18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5.75" customHeight="1">
      <c r="A85" s="4"/>
      <c r="B85" s="18"/>
      <c r="C85" s="18"/>
      <c r="D85" s="18"/>
      <c r="E85" s="18"/>
      <c r="F85" s="18"/>
      <c r="G85" s="18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5.75" customHeight="1">
      <c r="A86" s="4"/>
      <c r="B86" s="18"/>
      <c r="C86" s="18"/>
      <c r="D86" s="18"/>
      <c r="E86" s="18"/>
      <c r="F86" s="18"/>
      <c r="G86" s="18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5.75" customHeight="1">
      <c r="A87" s="4"/>
      <c r="B87" s="18"/>
      <c r="C87" s="18"/>
      <c r="D87" s="18"/>
      <c r="E87" s="18"/>
      <c r="F87" s="18"/>
      <c r="G87" s="18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5.75" customHeight="1">
      <c r="A88" s="4"/>
      <c r="B88" s="18"/>
      <c r="C88" s="18"/>
      <c r="D88" s="18"/>
      <c r="E88" s="18"/>
      <c r="F88" s="18"/>
      <c r="G88" s="18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5.75" customHeight="1">
      <c r="A89" s="4"/>
      <c r="B89" s="18"/>
      <c r="C89" s="18"/>
      <c r="D89" s="18"/>
      <c r="E89" s="18"/>
      <c r="F89" s="18"/>
      <c r="G89" s="18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5.75" customHeight="1">
      <c r="A90" s="4"/>
      <c r="B90" s="18"/>
      <c r="C90" s="18"/>
      <c r="D90" s="18"/>
      <c r="E90" s="18"/>
      <c r="F90" s="18"/>
      <c r="G90" s="18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5.75" customHeight="1">
      <c r="A91" s="4"/>
      <c r="B91" s="18"/>
      <c r="C91" s="18"/>
      <c r="D91" s="18"/>
      <c r="E91" s="18"/>
      <c r="F91" s="18"/>
      <c r="G91" s="18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5.75" customHeight="1">
      <c r="A92" s="4"/>
      <c r="B92" s="18"/>
      <c r="C92" s="18"/>
      <c r="D92" s="18"/>
      <c r="E92" s="18"/>
      <c r="F92" s="18"/>
      <c r="G92" s="18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5.75" customHeight="1">
      <c r="A93" s="4"/>
      <c r="B93" s="18"/>
      <c r="C93" s="18"/>
      <c r="D93" s="18"/>
      <c r="E93" s="18"/>
      <c r="F93" s="18"/>
      <c r="G93" s="18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5.75" customHeight="1">
      <c r="A94" s="4"/>
      <c r="B94" s="18"/>
      <c r="C94" s="18"/>
      <c r="D94" s="18"/>
      <c r="E94" s="18"/>
      <c r="F94" s="18"/>
      <c r="G94" s="18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5.75" customHeight="1">
      <c r="A95" s="4"/>
      <c r="B95" s="18"/>
      <c r="C95" s="18"/>
      <c r="D95" s="18"/>
      <c r="E95" s="18"/>
      <c r="F95" s="18"/>
      <c r="G95" s="18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5.75" customHeight="1">
      <c r="A96" s="4"/>
      <c r="B96" s="18"/>
      <c r="C96" s="18"/>
      <c r="D96" s="18"/>
      <c r="E96" s="18"/>
      <c r="F96" s="18"/>
      <c r="G96" s="18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5.75" customHeight="1">
      <c r="A97" s="4"/>
      <c r="B97" s="18"/>
      <c r="C97" s="18"/>
      <c r="D97" s="18"/>
      <c r="E97" s="18"/>
      <c r="F97" s="18"/>
      <c r="G97" s="18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5.75" customHeight="1">
      <c r="A98" s="4"/>
      <c r="B98" s="18"/>
      <c r="C98" s="18"/>
      <c r="D98" s="18"/>
      <c r="E98" s="18"/>
      <c r="F98" s="18"/>
      <c r="G98" s="18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5.75" customHeight="1">
      <c r="A99" s="4"/>
      <c r="B99" s="18"/>
      <c r="C99" s="18"/>
      <c r="D99" s="18"/>
      <c r="E99" s="18"/>
      <c r="F99" s="18"/>
      <c r="G99" s="18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5.75" customHeight="1">
      <c r="A100" s="4"/>
      <c r="B100" s="18"/>
      <c r="C100" s="18"/>
      <c r="D100" s="18"/>
      <c r="E100" s="18"/>
      <c r="F100" s="18"/>
      <c r="G100" s="18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5.75" customHeight="1">
      <c r="A101" s="4"/>
      <c r="B101" s="18"/>
      <c r="C101" s="18"/>
      <c r="D101" s="18"/>
      <c r="E101" s="18"/>
      <c r="F101" s="18"/>
      <c r="G101" s="18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5.75" customHeight="1">
      <c r="A102" s="4"/>
      <c r="B102" s="18"/>
      <c r="C102" s="18"/>
      <c r="D102" s="18"/>
      <c r="E102" s="18"/>
      <c r="F102" s="18"/>
      <c r="G102" s="18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5.75" customHeight="1">
      <c r="A103" s="4"/>
      <c r="B103" s="18"/>
      <c r="C103" s="18"/>
      <c r="D103" s="18"/>
      <c r="E103" s="18"/>
      <c r="F103" s="18"/>
      <c r="G103" s="18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5.75" customHeight="1">
      <c r="A104" s="4"/>
      <c r="B104" s="18"/>
      <c r="C104" s="18"/>
      <c r="D104" s="18"/>
      <c r="E104" s="18"/>
      <c r="F104" s="18"/>
      <c r="G104" s="18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5.75" customHeight="1">
      <c r="A105" s="4"/>
      <c r="B105" s="18"/>
      <c r="C105" s="18"/>
      <c r="D105" s="18"/>
      <c r="E105" s="18"/>
      <c r="F105" s="18"/>
      <c r="G105" s="18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5.75" customHeight="1">
      <c r="A106" s="4"/>
      <c r="B106" s="18"/>
      <c r="C106" s="18"/>
      <c r="D106" s="18"/>
      <c r="E106" s="18"/>
      <c r="F106" s="18"/>
      <c r="G106" s="18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5.75" customHeight="1">
      <c r="A107" s="4"/>
      <c r="B107" s="18"/>
      <c r="C107" s="18"/>
      <c r="D107" s="18"/>
      <c r="E107" s="18"/>
      <c r="F107" s="18"/>
      <c r="G107" s="18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5.75" customHeight="1">
      <c r="A108" s="4"/>
      <c r="B108" s="18"/>
      <c r="C108" s="18"/>
      <c r="D108" s="18"/>
      <c r="E108" s="18"/>
      <c r="F108" s="18"/>
      <c r="G108" s="18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5.75" customHeight="1">
      <c r="A109" s="4"/>
      <c r="B109" s="18"/>
      <c r="C109" s="18"/>
      <c r="D109" s="18"/>
      <c r="E109" s="18"/>
      <c r="F109" s="18"/>
      <c r="G109" s="18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5.75" customHeight="1">
      <c r="A110" s="4"/>
      <c r="B110" s="18"/>
      <c r="C110" s="18"/>
      <c r="D110" s="18"/>
      <c r="E110" s="18"/>
      <c r="F110" s="18"/>
      <c r="G110" s="18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5.75" customHeight="1">
      <c r="A111" s="4"/>
      <c r="B111" s="18"/>
      <c r="C111" s="18"/>
      <c r="D111" s="18"/>
      <c r="E111" s="18"/>
      <c r="F111" s="18"/>
      <c r="G111" s="18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5.75" customHeight="1">
      <c r="A112" s="4"/>
      <c r="B112" s="18"/>
      <c r="C112" s="18"/>
      <c r="D112" s="18"/>
      <c r="E112" s="18"/>
      <c r="F112" s="18"/>
      <c r="G112" s="18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5.75" customHeight="1">
      <c r="A113" s="4"/>
      <c r="B113" s="18"/>
      <c r="C113" s="18"/>
      <c r="D113" s="18"/>
      <c r="E113" s="18"/>
      <c r="F113" s="18"/>
      <c r="G113" s="18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5.75" customHeight="1">
      <c r="A114" s="4"/>
      <c r="B114" s="18"/>
      <c r="C114" s="18"/>
      <c r="D114" s="18"/>
      <c r="E114" s="18"/>
      <c r="F114" s="18"/>
      <c r="G114" s="18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5.75" customHeight="1">
      <c r="A115" s="4"/>
      <c r="B115" s="18"/>
      <c r="C115" s="18"/>
      <c r="D115" s="18"/>
      <c r="E115" s="18"/>
      <c r="F115" s="18"/>
      <c r="G115" s="18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5.75" customHeight="1">
      <c r="A116" s="4"/>
      <c r="B116" s="18"/>
      <c r="C116" s="18"/>
      <c r="D116" s="18"/>
      <c r="E116" s="18"/>
      <c r="F116" s="18"/>
      <c r="G116" s="18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5.75" customHeight="1">
      <c r="A117" s="4"/>
      <c r="B117" s="18"/>
      <c r="C117" s="18"/>
      <c r="D117" s="18"/>
      <c r="E117" s="18"/>
      <c r="F117" s="18"/>
      <c r="G117" s="18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5.75" customHeight="1">
      <c r="A118" s="4"/>
      <c r="B118" s="18"/>
      <c r="C118" s="18"/>
      <c r="D118" s="18"/>
      <c r="E118" s="18"/>
      <c r="F118" s="18"/>
      <c r="G118" s="18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5.75" customHeight="1">
      <c r="A119" s="4"/>
      <c r="B119" s="18"/>
      <c r="C119" s="18"/>
      <c r="D119" s="18"/>
      <c r="E119" s="18"/>
      <c r="F119" s="18"/>
      <c r="G119" s="18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5.75" customHeight="1">
      <c r="A120" s="4"/>
      <c r="B120" s="18"/>
      <c r="C120" s="18"/>
      <c r="D120" s="18"/>
      <c r="E120" s="18"/>
      <c r="F120" s="18"/>
      <c r="G120" s="18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5.75" customHeight="1">
      <c r="A121" s="4"/>
      <c r="B121" s="18"/>
      <c r="C121" s="18"/>
      <c r="D121" s="18"/>
      <c r="E121" s="18"/>
      <c r="F121" s="18"/>
      <c r="G121" s="18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5.75" customHeight="1">
      <c r="A122" s="4"/>
      <c r="B122" s="18"/>
      <c r="C122" s="18"/>
      <c r="D122" s="18"/>
      <c r="E122" s="18"/>
      <c r="F122" s="18"/>
      <c r="G122" s="18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5.75" customHeight="1">
      <c r="A123" s="4"/>
      <c r="B123" s="18"/>
      <c r="C123" s="18"/>
      <c r="D123" s="18"/>
      <c r="E123" s="18"/>
      <c r="F123" s="18"/>
      <c r="G123" s="18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5.75" customHeight="1">
      <c r="A124" s="4"/>
      <c r="B124" s="18"/>
      <c r="C124" s="18"/>
      <c r="D124" s="18"/>
      <c r="E124" s="18"/>
      <c r="F124" s="18"/>
      <c r="G124" s="18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5.75" customHeight="1">
      <c r="A125" s="4"/>
      <c r="B125" s="18"/>
      <c r="C125" s="18"/>
      <c r="D125" s="18"/>
      <c r="E125" s="18"/>
      <c r="F125" s="18"/>
      <c r="G125" s="18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5.75" customHeight="1">
      <c r="A126" s="4"/>
      <c r="B126" s="18"/>
      <c r="C126" s="18"/>
      <c r="D126" s="18"/>
      <c r="E126" s="18"/>
      <c r="F126" s="18"/>
      <c r="G126" s="18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5.75" customHeight="1">
      <c r="A127" s="4"/>
      <c r="B127" s="18"/>
      <c r="C127" s="18"/>
      <c r="D127" s="18"/>
      <c r="E127" s="18"/>
      <c r="F127" s="18"/>
      <c r="G127" s="18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5.75" customHeight="1">
      <c r="A128" s="4"/>
      <c r="B128" s="18"/>
      <c r="C128" s="18"/>
      <c r="D128" s="18"/>
      <c r="E128" s="18"/>
      <c r="F128" s="18"/>
      <c r="G128" s="18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5.75" customHeight="1">
      <c r="A129" s="4"/>
      <c r="B129" s="18"/>
      <c r="C129" s="18"/>
      <c r="D129" s="18"/>
      <c r="E129" s="18"/>
      <c r="F129" s="18"/>
      <c r="G129" s="18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5.75" customHeight="1">
      <c r="A130" s="4"/>
      <c r="B130" s="18"/>
      <c r="C130" s="18"/>
      <c r="D130" s="18"/>
      <c r="E130" s="18"/>
      <c r="F130" s="18"/>
      <c r="G130" s="18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5.75" customHeight="1">
      <c r="A131" s="4"/>
      <c r="B131" s="18"/>
      <c r="C131" s="18"/>
      <c r="D131" s="18"/>
      <c r="E131" s="18"/>
      <c r="F131" s="18"/>
      <c r="G131" s="18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5.75" customHeight="1">
      <c r="A132" s="4"/>
      <c r="B132" s="18"/>
      <c r="C132" s="18"/>
      <c r="D132" s="18"/>
      <c r="E132" s="18"/>
      <c r="F132" s="18"/>
      <c r="G132" s="18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5.75" customHeight="1">
      <c r="A133" s="4"/>
      <c r="B133" s="18"/>
      <c r="C133" s="18"/>
      <c r="D133" s="18"/>
      <c r="E133" s="18"/>
      <c r="F133" s="18"/>
      <c r="G133" s="18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5.75" customHeight="1">
      <c r="A134" s="4"/>
      <c r="B134" s="18"/>
      <c r="C134" s="18"/>
      <c r="D134" s="18"/>
      <c r="E134" s="18"/>
      <c r="F134" s="18"/>
      <c r="G134" s="18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5.75" customHeight="1">
      <c r="A135" s="4"/>
      <c r="B135" s="18"/>
      <c r="C135" s="18"/>
      <c r="D135" s="18"/>
      <c r="E135" s="18"/>
      <c r="F135" s="18"/>
      <c r="G135" s="18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5.75" customHeight="1">
      <c r="A136" s="4"/>
      <c r="B136" s="18"/>
      <c r="C136" s="18"/>
      <c r="D136" s="18"/>
      <c r="E136" s="18"/>
      <c r="F136" s="18"/>
      <c r="G136" s="18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5.75" customHeight="1">
      <c r="A137" s="4"/>
      <c r="B137" s="18"/>
      <c r="C137" s="18"/>
      <c r="D137" s="18"/>
      <c r="E137" s="18"/>
      <c r="F137" s="18"/>
      <c r="G137" s="18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5.75" customHeight="1">
      <c r="A138" s="4"/>
      <c r="B138" s="18"/>
      <c r="C138" s="18"/>
      <c r="D138" s="18"/>
      <c r="E138" s="18"/>
      <c r="F138" s="18"/>
      <c r="G138" s="18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5.75" customHeight="1">
      <c r="A139" s="4"/>
      <c r="B139" s="18"/>
      <c r="C139" s="18"/>
      <c r="D139" s="18"/>
      <c r="E139" s="18"/>
      <c r="F139" s="18"/>
      <c r="G139" s="18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5.75" customHeight="1">
      <c r="A140" s="4"/>
      <c r="B140" s="18"/>
      <c r="C140" s="18"/>
      <c r="D140" s="18"/>
      <c r="E140" s="18"/>
      <c r="F140" s="18"/>
      <c r="G140" s="18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5.75" customHeight="1">
      <c r="A141" s="4"/>
      <c r="B141" s="18"/>
      <c r="C141" s="18"/>
      <c r="D141" s="18"/>
      <c r="E141" s="18"/>
      <c r="F141" s="18"/>
      <c r="G141" s="18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5.75" customHeight="1">
      <c r="A142" s="4"/>
      <c r="B142" s="18"/>
      <c r="C142" s="18"/>
      <c r="D142" s="18"/>
      <c r="E142" s="18"/>
      <c r="F142" s="18"/>
      <c r="G142" s="18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5.75" customHeight="1">
      <c r="A143" s="4"/>
      <c r="B143" s="18"/>
      <c r="C143" s="18"/>
      <c r="D143" s="18"/>
      <c r="E143" s="18"/>
      <c r="F143" s="18"/>
      <c r="G143" s="18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5.75" customHeight="1">
      <c r="A144" s="4"/>
      <c r="B144" s="18"/>
      <c r="C144" s="18"/>
      <c r="D144" s="18"/>
      <c r="E144" s="18"/>
      <c r="F144" s="18"/>
      <c r="G144" s="18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5.75" customHeight="1">
      <c r="A145" s="4"/>
      <c r="B145" s="18"/>
      <c r="C145" s="18"/>
      <c r="D145" s="18"/>
      <c r="E145" s="18"/>
      <c r="F145" s="18"/>
      <c r="G145" s="18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5.75" customHeight="1">
      <c r="A146" s="4"/>
      <c r="B146" s="18"/>
      <c r="C146" s="18"/>
      <c r="D146" s="18"/>
      <c r="E146" s="18"/>
      <c r="F146" s="18"/>
      <c r="G146" s="18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5.75" customHeight="1">
      <c r="A147" s="4"/>
      <c r="B147" s="18"/>
      <c r="C147" s="18"/>
      <c r="D147" s="18"/>
      <c r="E147" s="18"/>
      <c r="F147" s="18"/>
      <c r="G147" s="18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5.75" customHeight="1">
      <c r="A148" s="4"/>
      <c r="B148" s="18"/>
      <c r="C148" s="18"/>
      <c r="D148" s="18"/>
      <c r="E148" s="18"/>
      <c r="F148" s="18"/>
      <c r="G148" s="18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5.75" customHeight="1">
      <c r="A149" s="4"/>
      <c r="B149" s="18"/>
      <c r="C149" s="18"/>
      <c r="D149" s="18"/>
      <c r="E149" s="18"/>
      <c r="F149" s="18"/>
      <c r="G149" s="18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5.75" customHeight="1">
      <c r="A150" s="4"/>
      <c r="B150" s="18"/>
      <c r="C150" s="18"/>
      <c r="D150" s="18"/>
      <c r="E150" s="18"/>
      <c r="F150" s="18"/>
      <c r="G150" s="18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5.75" customHeight="1">
      <c r="A151" s="4"/>
      <c r="B151" s="18"/>
      <c r="C151" s="18"/>
      <c r="D151" s="18"/>
      <c r="E151" s="18"/>
      <c r="F151" s="18"/>
      <c r="G151" s="18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5.75" customHeight="1">
      <c r="A152" s="4"/>
      <c r="B152" s="18"/>
      <c r="C152" s="18"/>
      <c r="D152" s="18"/>
      <c r="E152" s="18"/>
      <c r="F152" s="18"/>
      <c r="G152" s="18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5.75" customHeight="1">
      <c r="A153" s="4"/>
      <c r="B153" s="18"/>
      <c r="C153" s="18"/>
      <c r="D153" s="18"/>
      <c r="E153" s="18"/>
      <c r="F153" s="18"/>
      <c r="G153" s="18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5.75" customHeight="1">
      <c r="A154" s="4"/>
      <c r="B154" s="18"/>
      <c r="C154" s="18"/>
      <c r="D154" s="18"/>
      <c r="E154" s="18"/>
      <c r="F154" s="18"/>
      <c r="G154" s="18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5.75" customHeight="1">
      <c r="A155" s="4"/>
      <c r="B155" s="18"/>
      <c r="C155" s="18"/>
      <c r="D155" s="18"/>
      <c r="E155" s="18"/>
      <c r="F155" s="18"/>
      <c r="G155" s="18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5.75" customHeight="1">
      <c r="A156" s="4"/>
      <c r="B156" s="18"/>
      <c r="C156" s="18"/>
      <c r="D156" s="18"/>
      <c r="E156" s="18"/>
      <c r="F156" s="18"/>
      <c r="G156" s="18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5.75" customHeight="1">
      <c r="A157" s="4"/>
      <c r="B157" s="18"/>
      <c r="C157" s="18"/>
      <c r="D157" s="18"/>
      <c r="E157" s="18"/>
      <c r="F157" s="18"/>
      <c r="G157" s="18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5.75" customHeight="1">
      <c r="A158" s="4"/>
      <c r="B158" s="18"/>
      <c r="C158" s="18"/>
      <c r="D158" s="18"/>
      <c r="E158" s="18"/>
      <c r="F158" s="18"/>
      <c r="G158" s="18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5.75" customHeight="1">
      <c r="A159" s="4"/>
      <c r="B159" s="18"/>
      <c r="C159" s="18"/>
      <c r="D159" s="18"/>
      <c r="E159" s="18"/>
      <c r="F159" s="18"/>
      <c r="G159" s="18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5.75" customHeight="1">
      <c r="A160" s="4"/>
      <c r="B160" s="18"/>
      <c r="C160" s="18"/>
      <c r="D160" s="18"/>
      <c r="E160" s="18"/>
      <c r="F160" s="18"/>
      <c r="G160" s="18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5.75" customHeight="1">
      <c r="A161" s="4"/>
      <c r="B161" s="18"/>
      <c r="C161" s="18"/>
      <c r="D161" s="18"/>
      <c r="E161" s="18"/>
      <c r="F161" s="18"/>
      <c r="G161" s="18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5.75" customHeight="1">
      <c r="A162" s="4"/>
      <c r="B162" s="18"/>
      <c r="C162" s="18"/>
      <c r="D162" s="18"/>
      <c r="E162" s="18"/>
      <c r="F162" s="18"/>
      <c r="G162" s="18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5.75" customHeight="1">
      <c r="A163" s="4"/>
      <c r="B163" s="18"/>
      <c r="C163" s="18"/>
      <c r="D163" s="18"/>
      <c r="E163" s="18"/>
      <c r="F163" s="18"/>
      <c r="G163" s="18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5.75" customHeight="1">
      <c r="A164" s="4"/>
      <c r="B164" s="18"/>
      <c r="C164" s="18"/>
      <c r="D164" s="18"/>
      <c r="E164" s="18"/>
      <c r="F164" s="18"/>
      <c r="G164" s="18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5.75" customHeight="1">
      <c r="A165" s="4"/>
      <c r="B165" s="18"/>
      <c r="C165" s="18"/>
      <c r="D165" s="18"/>
      <c r="E165" s="18"/>
      <c r="F165" s="18"/>
      <c r="G165" s="18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5.75" customHeight="1">
      <c r="A166" s="4"/>
      <c r="B166" s="18"/>
      <c r="C166" s="18"/>
      <c r="D166" s="18"/>
      <c r="E166" s="18"/>
      <c r="F166" s="18"/>
      <c r="G166" s="18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5.75" customHeight="1">
      <c r="A167" s="4"/>
      <c r="B167" s="18"/>
      <c r="C167" s="18"/>
      <c r="D167" s="18"/>
      <c r="E167" s="18"/>
      <c r="F167" s="18"/>
      <c r="G167" s="18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5.75" customHeight="1">
      <c r="A168" s="4"/>
      <c r="B168" s="18"/>
      <c r="C168" s="18"/>
      <c r="D168" s="18"/>
      <c r="E168" s="18"/>
      <c r="F168" s="18"/>
      <c r="G168" s="18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5.75" customHeight="1">
      <c r="A169" s="4"/>
      <c r="B169" s="18"/>
      <c r="C169" s="18"/>
      <c r="D169" s="18"/>
      <c r="E169" s="18"/>
      <c r="F169" s="18"/>
      <c r="G169" s="18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5.75" customHeight="1">
      <c r="A170" s="4"/>
      <c r="B170" s="18"/>
      <c r="C170" s="18"/>
      <c r="D170" s="18"/>
      <c r="E170" s="18"/>
      <c r="F170" s="18"/>
      <c r="G170" s="18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5.75" customHeight="1">
      <c r="A171" s="4"/>
      <c r="B171" s="18"/>
      <c r="C171" s="18"/>
      <c r="D171" s="18"/>
      <c r="E171" s="18"/>
      <c r="F171" s="18"/>
      <c r="G171" s="18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5.75" customHeight="1">
      <c r="A172" s="4"/>
      <c r="B172" s="18"/>
      <c r="C172" s="18"/>
      <c r="D172" s="18"/>
      <c r="E172" s="18"/>
      <c r="F172" s="18"/>
      <c r="G172" s="18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5.75" customHeight="1">
      <c r="A173" s="4"/>
      <c r="B173" s="18"/>
      <c r="C173" s="18"/>
      <c r="D173" s="18"/>
      <c r="E173" s="18"/>
      <c r="F173" s="18"/>
      <c r="G173" s="18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5.75" customHeight="1">
      <c r="A174" s="4"/>
      <c r="B174" s="18"/>
      <c r="C174" s="18"/>
      <c r="D174" s="18"/>
      <c r="E174" s="18"/>
      <c r="F174" s="18"/>
      <c r="G174" s="18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5.75" customHeight="1">
      <c r="A175" s="4"/>
      <c r="B175" s="18"/>
      <c r="C175" s="18"/>
      <c r="D175" s="18"/>
      <c r="E175" s="18"/>
      <c r="F175" s="18"/>
      <c r="G175" s="18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5.75" customHeight="1">
      <c r="A176" s="4"/>
      <c r="B176" s="18"/>
      <c r="C176" s="18"/>
      <c r="D176" s="18"/>
      <c r="E176" s="18"/>
      <c r="F176" s="18"/>
      <c r="G176" s="18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5.75" customHeight="1">
      <c r="A177" s="4"/>
      <c r="B177" s="18"/>
      <c r="C177" s="18"/>
      <c r="D177" s="18"/>
      <c r="E177" s="18"/>
      <c r="F177" s="18"/>
      <c r="G177" s="18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5.75" customHeight="1">
      <c r="A178" s="4"/>
      <c r="B178" s="18"/>
      <c r="C178" s="18"/>
      <c r="D178" s="18"/>
      <c r="E178" s="18"/>
      <c r="F178" s="18"/>
      <c r="G178" s="18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5.75" customHeight="1">
      <c r="A179" s="4"/>
      <c r="B179" s="18"/>
      <c r="C179" s="18"/>
      <c r="D179" s="18"/>
      <c r="E179" s="18"/>
      <c r="F179" s="18"/>
      <c r="G179" s="18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5.75" customHeight="1">
      <c r="A180" s="4"/>
      <c r="B180" s="18"/>
      <c r="C180" s="18"/>
      <c r="D180" s="18"/>
      <c r="E180" s="18"/>
      <c r="F180" s="18"/>
      <c r="G180" s="18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5.75" customHeight="1">
      <c r="A181" s="4"/>
      <c r="B181" s="18"/>
      <c r="C181" s="18"/>
      <c r="D181" s="18"/>
      <c r="E181" s="18"/>
      <c r="F181" s="18"/>
      <c r="G181" s="18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5.75" customHeight="1">
      <c r="A182" s="4"/>
      <c r="B182" s="18"/>
      <c r="C182" s="18"/>
      <c r="D182" s="18"/>
      <c r="E182" s="18"/>
      <c r="F182" s="18"/>
      <c r="G182" s="18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5.75" customHeight="1">
      <c r="A183" s="4"/>
      <c r="B183" s="18"/>
      <c r="C183" s="18"/>
      <c r="D183" s="18"/>
      <c r="E183" s="18"/>
      <c r="F183" s="18"/>
      <c r="G183" s="18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5.75" customHeight="1">
      <c r="A184" s="4"/>
      <c r="B184" s="18"/>
      <c r="C184" s="18"/>
      <c r="D184" s="18"/>
      <c r="E184" s="18"/>
      <c r="F184" s="18"/>
      <c r="G184" s="18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5.75" customHeight="1">
      <c r="A185" s="4"/>
      <c r="B185" s="18"/>
      <c r="C185" s="18"/>
      <c r="D185" s="18"/>
      <c r="E185" s="18"/>
      <c r="F185" s="18"/>
      <c r="G185" s="18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5.75" customHeight="1">
      <c r="A186" s="4"/>
      <c r="B186" s="18"/>
      <c r="C186" s="18"/>
      <c r="D186" s="18"/>
      <c r="E186" s="18"/>
      <c r="F186" s="18"/>
      <c r="G186" s="18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5.75" customHeight="1">
      <c r="A187" s="4"/>
      <c r="B187" s="18"/>
      <c r="C187" s="18"/>
      <c r="D187" s="18"/>
      <c r="E187" s="18"/>
      <c r="F187" s="18"/>
      <c r="G187" s="18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5.75" customHeight="1">
      <c r="A188" s="4"/>
      <c r="B188" s="18"/>
      <c r="C188" s="18"/>
      <c r="D188" s="18"/>
      <c r="E188" s="18"/>
      <c r="F188" s="18"/>
      <c r="G188" s="18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5.75" customHeight="1">
      <c r="A189" s="4"/>
      <c r="B189" s="18"/>
      <c r="C189" s="18"/>
      <c r="D189" s="18"/>
      <c r="E189" s="18"/>
      <c r="F189" s="18"/>
      <c r="G189" s="18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5.75" customHeight="1">
      <c r="A190" s="4"/>
      <c r="B190" s="18"/>
      <c r="C190" s="18"/>
      <c r="D190" s="18"/>
      <c r="E190" s="18"/>
      <c r="F190" s="18"/>
      <c r="G190" s="18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5.75" customHeight="1">
      <c r="A191" s="4"/>
      <c r="B191" s="18"/>
      <c r="C191" s="18"/>
      <c r="D191" s="18"/>
      <c r="E191" s="18"/>
      <c r="F191" s="18"/>
      <c r="G191" s="18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5.75" customHeight="1">
      <c r="A192" s="4"/>
      <c r="B192" s="18"/>
      <c r="C192" s="18"/>
      <c r="D192" s="18"/>
      <c r="E192" s="18"/>
      <c r="F192" s="18"/>
      <c r="G192" s="18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5.75" customHeight="1">
      <c r="A193" s="4"/>
      <c r="B193" s="18"/>
      <c r="C193" s="18"/>
      <c r="D193" s="18"/>
      <c r="E193" s="18"/>
      <c r="F193" s="18"/>
      <c r="G193" s="18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5.75" customHeight="1">
      <c r="A194" s="4"/>
      <c r="B194" s="18"/>
      <c r="C194" s="18"/>
      <c r="D194" s="18"/>
      <c r="E194" s="18"/>
      <c r="F194" s="18"/>
      <c r="G194" s="18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5.75" customHeight="1">
      <c r="A195" s="4"/>
      <c r="B195" s="18"/>
      <c r="C195" s="18"/>
      <c r="D195" s="18"/>
      <c r="E195" s="18"/>
      <c r="F195" s="18"/>
      <c r="G195" s="18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5.75" customHeight="1">
      <c r="A196" s="4"/>
      <c r="B196" s="18"/>
      <c r="C196" s="18"/>
      <c r="D196" s="18"/>
      <c r="E196" s="18"/>
      <c r="F196" s="18"/>
      <c r="G196" s="18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5.75" customHeight="1">
      <c r="A197" s="4"/>
      <c r="B197" s="18"/>
      <c r="C197" s="18"/>
      <c r="D197" s="18"/>
      <c r="E197" s="18"/>
      <c r="F197" s="18"/>
      <c r="G197" s="18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5.75" customHeight="1">
      <c r="A198" s="4"/>
      <c r="B198" s="18"/>
      <c r="C198" s="18"/>
      <c r="D198" s="18"/>
      <c r="E198" s="18"/>
      <c r="F198" s="18"/>
      <c r="G198" s="18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5.75" customHeight="1">
      <c r="A199" s="4"/>
      <c r="B199" s="18"/>
      <c r="C199" s="18"/>
      <c r="D199" s="18"/>
      <c r="E199" s="18"/>
      <c r="F199" s="18"/>
      <c r="G199" s="18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5.75" customHeight="1">
      <c r="A200" s="4"/>
      <c r="B200" s="18"/>
      <c r="C200" s="18"/>
      <c r="D200" s="18"/>
      <c r="E200" s="18"/>
      <c r="F200" s="18"/>
      <c r="G200" s="18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5.75" customHeight="1">
      <c r="A201" s="4"/>
      <c r="B201" s="18"/>
      <c r="C201" s="18"/>
      <c r="D201" s="18"/>
      <c r="E201" s="18"/>
      <c r="F201" s="18"/>
      <c r="G201" s="18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5.75" customHeight="1">
      <c r="A202" s="4"/>
      <c r="B202" s="18"/>
      <c r="C202" s="18"/>
      <c r="D202" s="18"/>
      <c r="E202" s="18"/>
      <c r="F202" s="18"/>
      <c r="G202" s="18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5.75" customHeight="1">
      <c r="A203" s="4"/>
      <c r="B203" s="18"/>
      <c r="C203" s="18"/>
      <c r="D203" s="18"/>
      <c r="E203" s="18"/>
      <c r="F203" s="18"/>
      <c r="G203" s="18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5.75" customHeight="1">
      <c r="A204" s="4"/>
      <c r="B204" s="18"/>
      <c r="C204" s="18"/>
      <c r="D204" s="18"/>
      <c r="E204" s="18"/>
      <c r="F204" s="18"/>
      <c r="G204" s="18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5.75" customHeight="1">
      <c r="A205" s="4"/>
      <c r="B205" s="18"/>
      <c r="C205" s="18"/>
      <c r="D205" s="18"/>
      <c r="E205" s="18"/>
      <c r="F205" s="18"/>
      <c r="G205" s="18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5.75" customHeight="1">
      <c r="A206" s="4"/>
      <c r="B206" s="18"/>
      <c r="C206" s="18"/>
      <c r="D206" s="18"/>
      <c r="E206" s="18"/>
      <c r="F206" s="18"/>
      <c r="G206" s="18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5.75" customHeight="1">
      <c r="A207" s="4"/>
      <c r="B207" s="18"/>
      <c r="C207" s="18"/>
      <c r="D207" s="18"/>
      <c r="E207" s="18"/>
      <c r="F207" s="18"/>
      <c r="G207" s="18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5.75" customHeight="1">
      <c r="A208" s="4"/>
      <c r="B208" s="18"/>
      <c r="C208" s="18"/>
      <c r="D208" s="18"/>
      <c r="E208" s="18"/>
      <c r="F208" s="18"/>
      <c r="G208" s="18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5.75" customHeight="1">
      <c r="A209" s="4"/>
      <c r="B209" s="18"/>
      <c r="C209" s="18"/>
      <c r="D209" s="18"/>
      <c r="E209" s="18"/>
      <c r="F209" s="18"/>
      <c r="G209" s="18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5.75" customHeight="1">
      <c r="A210" s="4"/>
      <c r="B210" s="18"/>
      <c r="C210" s="18"/>
      <c r="D210" s="18"/>
      <c r="E210" s="18"/>
      <c r="F210" s="18"/>
      <c r="G210" s="18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5.75" customHeight="1">
      <c r="A211" s="4"/>
      <c r="B211" s="18"/>
      <c r="C211" s="18"/>
      <c r="D211" s="18"/>
      <c r="E211" s="18"/>
      <c r="F211" s="18"/>
      <c r="G211" s="18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5.75" customHeight="1">
      <c r="A212" s="4"/>
      <c r="B212" s="18"/>
      <c r="C212" s="18"/>
      <c r="D212" s="18"/>
      <c r="E212" s="18"/>
      <c r="F212" s="18"/>
      <c r="G212" s="18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5.75" customHeight="1">
      <c r="A213" s="4"/>
      <c r="B213" s="18"/>
      <c r="C213" s="18"/>
      <c r="D213" s="18"/>
      <c r="E213" s="18"/>
      <c r="F213" s="18"/>
      <c r="G213" s="18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5.75" customHeight="1">
      <c r="A214" s="4"/>
      <c r="B214" s="18"/>
      <c r="C214" s="18"/>
      <c r="D214" s="18"/>
      <c r="E214" s="18"/>
      <c r="F214" s="18"/>
      <c r="G214" s="18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5.75" customHeight="1">
      <c r="A215" s="4"/>
      <c r="B215" s="18"/>
      <c r="C215" s="18"/>
      <c r="D215" s="18"/>
      <c r="E215" s="18"/>
      <c r="F215" s="18"/>
      <c r="G215" s="18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5.75" customHeight="1">
      <c r="A216" s="4"/>
      <c r="B216" s="18"/>
      <c r="C216" s="18"/>
      <c r="D216" s="18"/>
      <c r="E216" s="18"/>
      <c r="F216" s="18"/>
      <c r="G216" s="18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5.75" customHeight="1">
      <c r="A217" s="4"/>
      <c r="B217" s="18"/>
      <c r="C217" s="18"/>
      <c r="D217" s="18"/>
      <c r="E217" s="18"/>
      <c r="F217" s="18"/>
      <c r="G217" s="18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5.75" customHeight="1">
      <c r="A218" s="4"/>
      <c r="B218" s="18"/>
      <c r="C218" s="18"/>
      <c r="D218" s="18"/>
      <c r="E218" s="18"/>
      <c r="F218" s="18"/>
      <c r="G218" s="18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5.75" customHeight="1">
      <c r="A219" s="4"/>
      <c r="B219" s="18"/>
      <c r="C219" s="18"/>
      <c r="D219" s="18"/>
      <c r="E219" s="18"/>
      <c r="F219" s="18"/>
      <c r="G219" s="18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5.75" customHeight="1">
      <c r="A220" s="4"/>
      <c r="B220" s="18"/>
      <c r="C220" s="18"/>
      <c r="D220" s="18"/>
      <c r="E220" s="18"/>
      <c r="F220" s="18"/>
      <c r="G220" s="18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15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15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15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15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15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15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15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15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15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15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15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15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15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15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15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15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15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15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15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15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15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15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15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15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15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15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15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15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15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15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15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15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15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15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15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15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15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15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15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15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15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15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15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15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15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15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15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15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15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15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15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15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15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15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15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15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15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15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15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15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15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15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15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15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15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15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15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15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15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15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15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15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15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15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15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15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15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15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15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15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15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15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15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15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15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15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15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15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15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15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15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15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15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15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15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15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15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15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15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15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15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15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15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15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15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15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15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15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15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15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15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15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15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15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15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15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15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15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15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15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15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15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15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15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15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15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15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15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15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15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15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15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15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15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15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15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15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15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15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15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15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15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15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15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15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15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15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15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15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15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15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15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15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15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15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15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15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15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15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15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15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15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15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15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15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15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15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15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15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15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15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15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15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15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15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15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15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15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15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15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15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15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15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15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15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15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15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15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15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15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15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15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15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15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15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15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15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15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15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15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15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15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15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15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15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15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15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15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15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15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15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15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15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15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15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15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15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15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15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15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15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15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15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15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15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15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15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15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15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15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15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15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15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15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15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15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15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15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15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15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15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15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15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15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15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15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15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15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15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15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15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15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15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15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15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15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15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15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15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15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15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15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15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15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15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15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15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15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15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15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15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15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15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15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15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15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15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15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15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15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15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15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15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15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15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15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15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15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15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15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15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15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15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15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15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15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15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15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15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15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15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15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15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15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15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15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15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15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15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15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15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15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15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15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15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15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15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15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15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15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15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15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15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15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15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15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15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15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15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15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15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15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15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15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15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15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15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15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15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15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15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15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15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15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15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15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15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15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15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15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15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15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15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15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15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15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15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15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15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15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15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15.7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15.7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15.7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15.7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15.7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15.7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15.7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15.7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15.7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15.7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15.7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15.7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15.7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15.7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15.7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15.7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15.7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15.7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15.7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15.7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15.7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15.7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ht="15.7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15.7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34.0"/>
    <col customWidth="1" min="2" max="6" width="16.0"/>
    <col customWidth="1" min="7" max="25" width="8.71"/>
  </cols>
  <sheetData>
    <row r="1" ht="17.25" customHeight="1">
      <c r="A1" s="1" t="s">
        <v>53</v>
      </c>
      <c r="B1" s="11"/>
      <c r="C1" s="11"/>
      <c r="D1" s="11"/>
      <c r="E1" s="11"/>
      <c r="F1" s="11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ht="29.25" customHeight="1">
      <c r="A2" s="5" t="s">
        <v>54</v>
      </c>
      <c r="B2" s="11"/>
      <c r="C2" s="11"/>
      <c r="D2" s="11"/>
      <c r="E2" s="11"/>
      <c r="F2" s="11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ht="17.25" customHeight="1">
      <c r="A3" s="6"/>
      <c r="B3" s="12" t="s">
        <v>55</v>
      </c>
      <c r="C3" s="12" t="s">
        <v>56</v>
      </c>
      <c r="D3" s="12" t="s">
        <v>57</v>
      </c>
      <c r="E3" s="12" t="s">
        <v>58</v>
      </c>
      <c r="F3" s="12" t="s">
        <v>59</v>
      </c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ht="17.25" customHeight="1">
      <c r="A4" s="13" t="s">
        <v>37</v>
      </c>
      <c r="B4" s="14">
        <f>Historical!G4*(1+B5)</f>
        <v>26382.05971</v>
      </c>
      <c r="C4" s="14">
        <f t="shared" ref="C4:F4" si="1">B4*(1+C5)</f>
        <v>27041.6112</v>
      </c>
      <c r="D4" s="14">
        <f t="shared" si="1"/>
        <v>27852.85953</v>
      </c>
      <c r="E4" s="14">
        <f t="shared" si="1"/>
        <v>28688.44532</v>
      </c>
      <c r="F4" s="14">
        <f t="shared" si="1"/>
        <v>29405.65645</v>
      </c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ht="17.25" customHeight="1">
      <c r="A5" s="13" t="s">
        <v>38</v>
      </c>
      <c r="B5" s="15">
        <v>0.015</v>
      </c>
      <c r="C5" s="15">
        <v>0.025</v>
      </c>
      <c r="D5" s="15">
        <v>0.03</v>
      </c>
      <c r="E5" s="15">
        <v>0.03</v>
      </c>
      <c r="F5" s="15">
        <v>0.025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ht="17.25" customHeight="1">
      <c r="A6" s="13" t="s">
        <v>40</v>
      </c>
      <c r="B6" s="15">
        <v>0.18</v>
      </c>
      <c r="C6" s="15">
        <v>0.184</v>
      </c>
      <c r="D6" s="15">
        <v>0.187</v>
      </c>
      <c r="E6" s="15">
        <v>0.189</v>
      </c>
      <c r="F6" s="15">
        <v>0.19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 ht="17.25" customHeight="1">
      <c r="A7" s="13" t="s">
        <v>60</v>
      </c>
      <c r="B7" s="14">
        <f t="shared" ref="B7:F7" si="2">B4*B6</f>
        <v>4748.770747</v>
      </c>
      <c r="C7" s="14">
        <f t="shared" si="2"/>
        <v>4975.65646</v>
      </c>
      <c r="D7" s="14">
        <f t="shared" si="2"/>
        <v>5208.484733</v>
      </c>
      <c r="E7" s="14">
        <f t="shared" si="2"/>
        <v>5422.116165</v>
      </c>
      <c r="F7" s="14">
        <f t="shared" si="2"/>
        <v>5587.074726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 ht="17.25" customHeight="1">
      <c r="A8" s="13" t="s">
        <v>61</v>
      </c>
      <c r="B8" s="15">
        <v>0.107</v>
      </c>
      <c r="C8" s="15">
        <v>0.112</v>
      </c>
      <c r="D8" s="15">
        <v>0.116</v>
      </c>
      <c r="E8" s="15">
        <v>0.119</v>
      </c>
      <c r="F8" s="15">
        <v>0.12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 ht="17.25" customHeight="1">
      <c r="A9" s="13" t="s">
        <v>62</v>
      </c>
      <c r="B9" s="14">
        <f t="shared" ref="B9:F9" si="3">B4*B8</f>
        <v>2822.880388</v>
      </c>
      <c r="C9" s="14">
        <f t="shared" si="3"/>
        <v>3028.660454</v>
      </c>
      <c r="D9" s="14">
        <f t="shared" si="3"/>
        <v>3230.931706</v>
      </c>
      <c r="E9" s="14">
        <f t="shared" si="3"/>
        <v>3413.924993</v>
      </c>
      <c r="F9" s="14">
        <f t="shared" si="3"/>
        <v>3528.678774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 ht="17.25" customHeight="1">
      <c r="A10" s="13" t="s">
        <v>63</v>
      </c>
      <c r="B10" s="15">
        <v>0.2629317622491242</v>
      </c>
      <c r="C10" s="15">
        <v>0.2629317622491242</v>
      </c>
      <c r="D10" s="15">
        <v>0.2629317622491242</v>
      </c>
      <c r="E10" s="15">
        <v>0.2629317622491242</v>
      </c>
      <c r="F10" s="15">
        <v>0.2629317622491242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 ht="17.25" customHeight="1">
      <c r="A11" s="13" t="s">
        <v>64</v>
      </c>
      <c r="B11" s="14">
        <f t="shared" ref="B11:F11" si="4">B9*(1-B10)</f>
        <v>2080.655473</v>
      </c>
      <c r="C11" s="14">
        <f t="shared" si="4"/>
        <v>2232.329424</v>
      </c>
      <c r="D11" s="14">
        <f t="shared" si="4"/>
        <v>2381.417139</v>
      </c>
      <c r="E11" s="14">
        <f t="shared" si="4"/>
        <v>2516.295678</v>
      </c>
      <c r="F11" s="14">
        <f t="shared" si="4"/>
        <v>2600.877046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 ht="17.25" customHeight="1">
      <c r="A12" s="13" t="s">
        <v>65</v>
      </c>
      <c r="B12" s="15">
        <v>0.073</v>
      </c>
      <c r="C12" s="15">
        <v>0.072</v>
      </c>
      <c r="D12" s="15">
        <v>0.071</v>
      </c>
      <c r="E12" s="15">
        <v>0.07</v>
      </c>
      <c r="F12" s="15">
        <v>0.07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 ht="17.25" customHeight="1">
      <c r="A13" s="13" t="s">
        <v>66</v>
      </c>
      <c r="B13" s="14">
        <f t="shared" ref="B13:F13" si="5">B4*B12</f>
        <v>1925.890358</v>
      </c>
      <c r="C13" s="14">
        <f t="shared" si="5"/>
        <v>1946.996006</v>
      </c>
      <c r="D13" s="14">
        <f t="shared" si="5"/>
        <v>1977.553027</v>
      </c>
      <c r="E13" s="14">
        <f t="shared" si="5"/>
        <v>2008.191172</v>
      </c>
      <c r="F13" s="14">
        <f t="shared" si="5"/>
        <v>2058.395952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 ht="17.25" customHeight="1">
      <c r="A14" s="13" t="s">
        <v>48</v>
      </c>
      <c r="B14" s="15">
        <v>0.073</v>
      </c>
      <c r="C14" s="15">
        <v>0.072</v>
      </c>
      <c r="D14" s="15">
        <v>0.071</v>
      </c>
      <c r="E14" s="15">
        <v>0.07</v>
      </c>
      <c r="F14" s="15">
        <v>0.07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 ht="17.25" customHeight="1">
      <c r="A15" s="13" t="s">
        <v>47</v>
      </c>
      <c r="B15" s="14">
        <f t="shared" ref="B15:F15" si="6">B4*B14</f>
        <v>1925.890358</v>
      </c>
      <c r="C15" s="14">
        <f t="shared" si="6"/>
        <v>1946.996006</v>
      </c>
      <c r="D15" s="14">
        <f t="shared" si="6"/>
        <v>1977.553027</v>
      </c>
      <c r="E15" s="14">
        <f t="shared" si="6"/>
        <v>2008.191172</v>
      </c>
      <c r="F15" s="14">
        <f t="shared" si="6"/>
        <v>2058.395952</v>
      </c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 ht="17.25" customHeight="1">
      <c r="A16" s="13" t="s">
        <v>67</v>
      </c>
      <c r="B16" s="14">
        <f>(B4-Historical!G4)*0.01</f>
        <v>3.898826557</v>
      </c>
      <c r="C16" s="14">
        <f t="shared" ref="C16:F16" si="7">(C4-B4)*0.01</f>
        <v>6.595514926</v>
      </c>
      <c r="D16" s="14">
        <f t="shared" si="7"/>
        <v>8.112483359</v>
      </c>
      <c r="E16" s="14">
        <f t="shared" si="7"/>
        <v>8.35585786</v>
      </c>
      <c r="F16" s="14">
        <f t="shared" si="7"/>
        <v>7.17211133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 ht="17.25" customHeight="1">
      <c r="A17" s="13" t="s">
        <v>68</v>
      </c>
      <c r="B17" s="14">
        <f t="shared" ref="B17:F17" si="8">B11+B13-B15-B16</f>
        <v>2076.756647</v>
      </c>
      <c r="C17" s="14">
        <f t="shared" si="8"/>
        <v>2225.733909</v>
      </c>
      <c r="D17" s="14">
        <f t="shared" si="8"/>
        <v>2373.304655</v>
      </c>
      <c r="E17" s="14">
        <f t="shared" si="8"/>
        <v>2507.939821</v>
      </c>
      <c r="F17" s="14">
        <f t="shared" si="8"/>
        <v>2593.704934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4"/>
      <c r="B18" s="19"/>
      <c r="C18" s="19"/>
      <c r="D18" s="19"/>
      <c r="E18" s="19"/>
      <c r="F18" s="19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4"/>
      <c r="B19" s="19"/>
      <c r="C19" s="19"/>
      <c r="D19" s="19"/>
      <c r="E19" s="19"/>
      <c r="F19" s="19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4"/>
      <c r="B20" s="19"/>
      <c r="C20" s="19"/>
      <c r="D20" s="19"/>
      <c r="E20" s="19"/>
      <c r="F20" s="19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 ht="15.75" customHeight="1">
      <c r="A21" s="4"/>
      <c r="B21" s="19"/>
      <c r="C21" s="19"/>
      <c r="D21" s="19"/>
      <c r="E21" s="19"/>
      <c r="F21" s="19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 ht="15.75" customHeight="1">
      <c r="A22" s="4"/>
      <c r="B22" s="19"/>
      <c r="C22" s="19"/>
      <c r="D22" s="19"/>
      <c r="E22" s="19"/>
      <c r="F22" s="19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 ht="15.75" customHeight="1">
      <c r="A23" s="4"/>
      <c r="B23" s="19"/>
      <c r="C23" s="19"/>
      <c r="D23" s="19"/>
      <c r="E23" s="19"/>
      <c r="F23" s="19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 ht="15.75" customHeight="1">
      <c r="A24" s="4"/>
      <c r="B24" s="19"/>
      <c r="C24" s="19"/>
      <c r="D24" s="19"/>
      <c r="E24" s="19"/>
      <c r="F24" s="19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 ht="15.75" customHeight="1">
      <c r="A25" s="4"/>
      <c r="B25" s="19"/>
      <c r="C25" s="19"/>
      <c r="D25" s="19"/>
      <c r="E25" s="19"/>
      <c r="F25" s="19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 ht="15.75" customHeight="1">
      <c r="A26" s="4"/>
      <c r="B26" s="19"/>
      <c r="C26" s="19"/>
      <c r="D26" s="19"/>
      <c r="E26" s="19"/>
      <c r="F26" s="19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ht="15.75" customHeight="1">
      <c r="A27" s="4"/>
      <c r="B27" s="19"/>
      <c r="C27" s="19"/>
      <c r="D27" s="19"/>
      <c r="E27" s="19"/>
      <c r="F27" s="19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ht="15.75" customHeight="1">
      <c r="A28" s="4"/>
      <c r="B28" s="19"/>
      <c r="C28" s="19"/>
      <c r="D28" s="19"/>
      <c r="E28" s="19"/>
      <c r="F28" s="19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ht="15.75" customHeight="1">
      <c r="A29" s="4"/>
      <c r="B29" s="19"/>
      <c r="C29" s="19"/>
      <c r="D29" s="19"/>
      <c r="E29" s="19"/>
      <c r="F29" s="19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ht="15.75" customHeight="1">
      <c r="A30" s="4"/>
      <c r="B30" s="19"/>
      <c r="C30" s="19"/>
      <c r="D30" s="19"/>
      <c r="E30" s="19"/>
      <c r="F30" s="19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ht="15.75" customHeight="1">
      <c r="A31" s="4"/>
      <c r="B31" s="19"/>
      <c r="C31" s="19"/>
      <c r="D31" s="19"/>
      <c r="E31" s="19"/>
      <c r="F31" s="19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ht="15.75" customHeight="1">
      <c r="A32" s="4"/>
      <c r="B32" s="19"/>
      <c r="C32" s="19"/>
      <c r="D32" s="19"/>
      <c r="E32" s="19"/>
      <c r="F32" s="19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ht="15.75" customHeight="1">
      <c r="A33" s="4"/>
      <c r="B33" s="19"/>
      <c r="C33" s="19"/>
      <c r="D33" s="19"/>
      <c r="E33" s="19"/>
      <c r="F33" s="19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ht="15.75" customHeight="1">
      <c r="A34" s="4"/>
      <c r="B34" s="19"/>
      <c r="C34" s="19"/>
      <c r="D34" s="19"/>
      <c r="E34" s="19"/>
      <c r="F34" s="19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 ht="15.75" customHeight="1">
      <c r="A35" s="4"/>
      <c r="B35" s="19"/>
      <c r="C35" s="19"/>
      <c r="D35" s="19"/>
      <c r="E35" s="19"/>
      <c r="F35" s="19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 ht="15.75" customHeight="1">
      <c r="A36" s="4"/>
      <c r="B36" s="19"/>
      <c r="C36" s="19"/>
      <c r="D36" s="19"/>
      <c r="E36" s="19"/>
      <c r="F36" s="19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 ht="15.75" customHeight="1">
      <c r="A37" s="4"/>
      <c r="B37" s="19"/>
      <c r="C37" s="19"/>
      <c r="D37" s="19"/>
      <c r="E37" s="19"/>
      <c r="F37" s="19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 ht="15.75" customHeight="1">
      <c r="A38" s="4"/>
      <c r="B38" s="19"/>
      <c r="C38" s="19"/>
      <c r="D38" s="19"/>
      <c r="E38" s="19"/>
      <c r="F38" s="19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 ht="15.75" customHeight="1">
      <c r="A39" s="4"/>
      <c r="B39" s="19"/>
      <c r="C39" s="19"/>
      <c r="D39" s="19"/>
      <c r="E39" s="19"/>
      <c r="F39" s="19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 ht="15.75" customHeight="1">
      <c r="A40" s="4"/>
      <c r="B40" s="19"/>
      <c r="C40" s="19"/>
      <c r="D40" s="19"/>
      <c r="E40" s="19"/>
      <c r="F40" s="19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 ht="15.75" customHeight="1">
      <c r="A41" s="4"/>
      <c r="B41" s="19"/>
      <c r="C41" s="19"/>
      <c r="D41" s="19"/>
      <c r="E41" s="19"/>
      <c r="F41" s="19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 ht="15.75" customHeight="1">
      <c r="A42" s="4"/>
      <c r="B42" s="19"/>
      <c r="C42" s="19"/>
      <c r="D42" s="19"/>
      <c r="E42" s="19"/>
      <c r="F42" s="19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 ht="15.75" customHeight="1">
      <c r="A43" s="4"/>
      <c r="B43" s="19"/>
      <c r="C43" s="19"/>
      <c r="D43" s="19"/>
      <c r="E43" s="19"/>
      <c r="F43" s="19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 ht="15.75" customHeight="1">
      <c r="A44" s="4"/>
      <c r="B44" s="19"/>
      <c r="C44" s="19"/>
      <c r="D44" s="19"/>
      <c r="E44" s="19"/>
      <c r="F44" s="19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 ht="15.75" customHeight="1">
      <c r="A45" s="4"/>
      <c r="B45" s="19"/>
      <c r="C45" s="19"/>
      <c r="D45" s="19"/>
      <c r="E45" s="19"/>
      <c r="F45" s="19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 ht="15.75" customHeight="1">
      <c r="A46" s="4"/>
      <c r="B46" s="19"/>
      <c r="C46" s="19"/>
      <c r="D46" s="19"/>
      <c r="E46" s="19"/>
      <c r="F46" s="19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 ht="15.75" customHeight="1">
      <c r="A47" s="4"/>
      <c r="B47" s="19"/>
      <c r="C47" s="19"/>
      <c r="D47" s="19"/>
      <c r="E47" s="19"/>
      <c r="F47" s="19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 ht="15.75" customHeight="1">
      <c r="A48" s="4"/>
      <c r="B48" s="19"/>
      <c r="C48" s="19"/>
      <c r="D48" s="19"/>
      <c r="E48" s="19"/>
      <c r="F48" s="19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 ht="15.75" customHeight="1">
      <c r="A49" s="4"/>
      <c r="B49" s="19"/>
      <c r="C49" s="19"/>
      <c r="D49" s="19"/>
      <c r="E49" s="19"/>
      <c r="F49" s="19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 ht="15.75" customHeight="1">
      <c r="A50" s="4"/>
      <c r="B50" s="19"/>
      <c r="C50" s="19"/>
      <c r="D50" s="19"/>
      <c r="E50" s="19"/>
      <c r="F50" s="19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 ht="15.75" customHeight="1">
      <c r="A51" s="4"/>
      <c r="B51" s="19"/>
      <c r="C51" s="19"/>
      <c r="D51" s="19"/>
      <c r="E51" s="19"/>
      <c r="F51" s="19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 ht="15.75" customHeight="1">
      <c r="A52" s="4"/>
      <c r="B52" s="19"/>
      <c r="C52" s="19"/>
      <c r="D52" s="19"/>
      <c r="E52" s="19"/>
      <c r="F52" s="19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 ht="15.75" customHeight="1">
      <c r="A53" s="4"/>
      <c r="B53" s="19"/>
      <c r="C53" s="19"/>
      <c r="D53" s="19"/>
      <c r="E53" s="19"/>
      <c r="F53" s="19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 ht="15.75" customHeight="1">
      <c r="A54" s="4"/>
      <c r="B54" s="19"/>
      <c r="C54" s="19"/>
      <c r="D54" s="19"/>
      <c r="E54" s="19"/>
      <c r="F54" s="19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 ht="15.75" customHeight="1">
      <c r="A55" s="4"/>
      <c r="B55" s="19"/>
      <c r="C55" s="19"/>
      <c r="D55" s="19"/>
      <c r="E55" s="19"/>
      <c r="F55" s="19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 ht="15.75" customHeight="1">
      <c r="A56" s="4"/>
      <c r="B56" s="19"/>
      <c r="C56" s="19"/>
      <c r="D56" s="19"/>
      <c r="E56" s="19"/>
      <c r="F56" s="19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 ht="15.75" customHeight="1">
      <c r="A57" s="4"/>
      <c r="B57" s="19"/>
      <c r="C57" s="19"/>
      <c r="D57" s="19"/>
      <c r="E57" s="19"/>
      <c r="F57" s="19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 ht="15.75" customHeight="1">
      <c r="A58" s="4"/>
      <c r="B58" s="19"/>
      <c r="C58" s="19"/>
      <c r="D58" s="19"/>
      <c r="E58" s="19"/>
      <c r="F58" s="19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 ht="15.75" customHeight="1">
      <c r="A59" s="4"/>
      <c r="B59" s="19"/>
      <c r="C59" s="19"/>
      <c r="D59" s="19"/>
      <c r="E59" s="19"/>
      <c r="F59" s="19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 ht="15.75" customHeight="1">
      <c r="A60" s="4"/>
      <c r="B60" s="19"/>
      <c r="C60" s="19"/>
      <c r="D60" s="19"/>
      <c r="E60" s="19"/>
      <c r="F60" s="19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 ht="15.75" customHeight="1">
      <c r="A61" s="4"/>
      <c r="B61" s="19"/>
      <c r="C61" s="19"/>
      <c r="D61" s="19"/>
      <c r="E61" s="19"/>
      <c r="F61" s="19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 ht="15.75" customHeight="1">
      <c r="A62" s="4"/>
      <c r="B62" s="19"/>
      <c r="C62" s="19"/>
      <c r="D62" s="19"/>
      <c r="E62" s="19"/>
      <c r="F62" s="19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 ht="15.75" customHeight="1">
      <c r="A63" s="4"/>
      <c r="B63" s="19"/>
      <c r="C63" s="19"/>
      <c r="D63" s="19"/>
      <c r="E63" s="19"/>
      <c r="F63" s="19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 ht="15.75" customHeight="1">
      <c r="A64" s="4"/>
      <c r="B64" s="19"/>
      <c r="C64" s="19"/>
      <c r="D64" s="19"/>
      <c r="E64" s="19"/>
      <c r="F64" s="19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 ht="15.75" customHeight="1">
      <c r="A65" s="4"/>
      <c r="B65" s="19"/>
      <c r="C65" s="19"/>
      <c r="D65" s="19"/>
      <c r="E65" s="19"/>
      <c r="F65" s="19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 ht="15.75" customHeight="1">
      <c r="A66" s="4"/>
      <c r="B66" s="19"/>
      <c r="C66" s="19"/>
      <c r="D66" s="19"/>
      <c r="E66" s="19"/>
      <c r="F66" s="19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 ht="15.75" customHeight="1">
      <c r="A67" s="4"/>
      <c r="B67" s="19"/>
      <c r="C67" s="19"/>
      <c r="D67" s="19"/>
      <c r="E67" s="19"/>
      <c r="F67" s="19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 ht="15.75" customHeight="1">
      <c r="A68" s="4"/>
      <c r="B68" s="19"/>
      <c r="C68" s="19"/>
      <c r="D68" s="19"/>
      <c r="E68" s="19"/>
      <c r="F68" s="19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 ht="15.75" customHeight="1">
      <c r="A69" s="4"/>
      <c r="B69" s="19"/>
      <c r="C69" s="19"/>
      <c r="D69" s="19"/>
      <c r="E69" s="19"/>
      <c r="F69" s="19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 ht="15.75" customHeight="1">
      <c r="A70" s="4"/>
      <c r="B70" s="19"/>
      <c r="C70" s="19"/>
      <c r="D70" s="19"/>
      <c r="E70" s="19"/>
      <c r="F70" s="19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 ht="15.75" customHeight="1">
      <c r="A71" s="4"/>
      <c r="B71" s="19"/>
      <c r="C71" s="19"/>
      <c r="D71" s="19"/>
      <c r="E71" s="19"/>
      <c r="F71" s="19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 ht="15.75" customHeight="1">
      <c r="A72" s="4"/>
      <c r="B72" s="19"/>
      <c r="C72" s="19"/>
      <c r="D72" s="19"/>
      <c r="E72" s="19"/>
      <c r="F72" s="19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 ht="15.75" customHeight="1">
      <c r="A73" s="4"/>
      <c r="B73" s="19"/>
      <c r="C73" s="19"/>
      <c r="D73" s="19"/>
      <c r="E73" s="19"/>
      <c r="F73" s="19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 ht="15.75" customHeight="1">
      <c r="A74" s="4"/>
      <c r="B74" s="19"/>
      <c r="C74" s="19"/>
      <c r="D74" s="19"/>
      <c r="E74" s="19"/>
      <c r="F74" s="19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 ht="15.75" customHeight="1">
      <c r="A75" s="4"/>
      <c r="B75" s="19"/>
      <c r="C75" s="19"/>
      <c r="D75" s="19"/>
      <c r="E75" s="19"/>
      <c r="F75" s="19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 ht="15.75" customHeight="1">
      <c r="A76" s="4"/>
      <c r="B76" s="19"/>
      <c r="C76" s="19"/>
      <c r="D76" s="19"/>
      <c r="E76" s="19"/>
      <c r="F76" s="19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 ht="15.75" customHeight="1">
      <c r="A77" s="4"/>
      <c r="B77" s="19"/>
      <c r="C77" s="19"/>
      <c r="D77" s="19"/>
      <c r="E77" s="19"/>
      <c r="F77" s="19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 ht="15.75" customHeight="1">
      <c r="A78" s="4"/>
      <c r="B78" s="19"/>
      <c r="C78" s="19"/>
      <c r="D78" s="19"/>
      <c r="E78" s="19"/>
      <c r="F78" s="19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 ht="15.75" customHeight="1">
      <c r="A79" s="4"/>
      <c r="B79" s="19"/>
      <c r="C79" s="19"/>
      <c r="D79" s="19"/>
      <c r="E79" s="19"/>
      <c r="F79" s="19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 ht="15.75" customHeight="1">
      <c r="A80" s="4"/>
      <c r="B80" s="19"/>
      <c r="C80" s="19"/>
      <c r="D80" s="19"/>
      <c r="E80" s="19"/>
      <c r="F80" s="19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 ht="15.75" customHeight="1">
      <c r="A81" s="4"/>
      <c r="B81" s="19"/>
      <c r="C81" s="19"/>
      <c r="D81" s="19"/>
      <c r="E81" s="19"/>
      <c r="F81" s="19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 ht="15.75" customHeight="1">
      <c r="A82" s="4"/>
      <c r="B82" s="19"/>
      <c r="C82" s="19"/>
      <c r="D82" s="19"/>
      <c r="E82" s="19"/>
      <c r="F82" s="19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 ht="15.75" customHeight="1">
      <c r="A83" s="4"/>
      <c r="B83" s="19"/>
      <c r="C83" s="19"/>
      <c r="D83" s="19"/>
      <c r="E83" s="19"/>
      <c r="F83" s="19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 ht="15.75" customHeight="1">
      <c r="A84" s="4"/>
      <c r="B84" s="19"/>
      <c r="C84" s="19"/>
      <c r="D84" s="19"/>
      <c r="E84" s="19"/>
      <c r="F84" s="19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 ht="15.75" customHeight="1">
      <c r="A85" s="4"/>
      <c r="B85" s="19"/>
      <c r="C85" s="19"/>
      <c r="D85" s="19"/>
      <c r="E85" s="19"/>
      <c r="F85" s="19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 ht="15.75" customHeight="1">
      <c r="A86" s="4"/>
      <c r="B86" s="19"/>
      <c r="C86" s="19"/>
      <c r="D86" s="19"/>
      <c r="E86" s="19"/>
      <c r="F86" s="19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 ht="15.75" customHeight="1">
      <c r="A87" s="4"/>
      <c r="B87" s="19"/>
      <c r="C87" s="19"/>
      <c r="D87" s="19"/>
      <c r="E87" s="19"/>
      <c r="F87" s="19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 ht="15.75" customHeight="1">
      <c r="A88" s="4"/>
      <c r="B88" s="19"/>
      <c r="C88" s="19"/>
      <c r="D88" s="19"/>
      <c r="E88" s="19"/>
      <c r="F88" s="19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 ht="15.75" customHeight="1">
      <c r="A89" s="4"/>
      <c r="B89" s="19"/>
      <c r="C89" s="19"/>
      <c r="D89" s="19"/>
      <c r="E89" s="19"/>
      <c r="F89" s="19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 ht="15.75" customHeight="1">
      <c r="A90" s="4"/>
      <c r="B90" s="19"/>
      <c r="C90" s="19"/>
      <c r="D90" s="19"/>
      <c r="E90" s="19"/>
      <c r="F90" s="19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 ht="15.75" customHeight="1">
      <c r="A91" s="4"/>
      <c r="B91" s="19"/>
      <c r="C91" s="19"/>
      <c r="D91" s="19"/>
      <c r="E91" s="19"/>
      <c r="F91" s="19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 ht="15.75" customHeight="1">
      <c r="A92" s="4"/>
      <c r="B92" s="19"/>
      <c r="C92" s="19"/>
      <c r="D92" s="19"/>
      <c r="E92" s="19"/>
      <c r="F92" s="19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 ht="15.75" customHeight="1">
      <c r="A93" s="4"/>
      <c r="B93" s="19"/>
      <c r="C93" s="19"/>
      <c r="D93" s="19"/>
      <c r="E93" s="19"/>
      <c r="F93" s="19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 ht="15.75" customHeight="1">
      <c r="A94" s="4"/>
      <c r="B94" s="19"/>
      <c r="C94" s="19"/>
      <c r="D94" s="19"/>
      <c r="E94" s="19"/>
      <c r="F94" s="19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 ht="15.75" customHeight="1">
      <c r="A95" s="4"/>
      <c r="B95" s="19"/>
      <c r="C95" s="19"/>
      <c r="D95" s="19"/>
      <c r="E95" s="19"/>
      <c r="F95" s="19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 ht="15.75" customHeight="1">
      <c r="A96" s="4"/>
      <c r="B96" s="19"/>
      <c r="C96" s="19"/>
      <c r="D96" s="19"/>
      <c r="E96" s="19"/>
      <c r="F96" s="19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 ht="15.75" customHeight="1">
      <c r="A97" s="4"/>
      <c r="B97" s="19"/>
      <c r="C97" s="19"/>
      <c r="D97" s="19"/>
      <c r="E97" s="19"/>
      <c r="F97" s="19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 ht="15.75" customHeight="1">
      <c r="A98" s="4"/>
      <c r="B98" s="19"/>
      <c r="C98" s="19"/>
      <c r="D98" s="19"/>
      <c r="E98" s="19"/>
      <c r="F98" s="19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 ht="15.75" customHeight="1">
      <c r="A99" s="4"/>
      <c r="B99" s="19"/>
      <c r="C99" s="19"/>
      <c r="D99" s="19"/>
      <c r="E99" s="19"/>
      <c r="F99" s="19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 ht="15.75" customHeight="1">
      <c r="A100" s="4"/>
      <c r="B100" s="19"/>
      <c r="C100" s="19"/>
      <c r="D100" s="19"/>
      <c r="E100" s="19"/>
      <c r="F100" s="19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 ht="15.75" customHeight="1">
      <c r="A101" s="4"/>
      <c r="B101" s="19"/>
      <c r="C101" s="19"/>
      <c r="D101" s="19"/>
      <c r="E101" s="19"/>
      <c r="F101" s="19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 ht="15.75" customHeight="1">
      <c r="A102" s="4"/>
      <c r="B102" s="19"/>
      <c r="C102" s="19"/>
      <c r="D102" s="19"/>
      <c r="E102" s="19"/>
      <c r="F102" s="19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 ht="15.75" customHeight="1">
      <c r="A103" s="4"/>
      <c r="B103" s="19"/>
      <c r="C103" s="19"/>
      <c r="D103" s="19"/>
      <c r="E103" s="19"/>
      <c r="F103" s="19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 ht="15.75" customHeight="1">
      <c r="A104" s="4"/>
      <c r="B104" s="19"/>
      <c r="C104" s="19"/>
      <c r="D104" s="19"/>
      <c r="E104" s="19"/>
      <c r="F104" s="19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 ht="15.75" customHeight="1">
      <c r="A105" s="4"/>
      <c r="B105" s="19"/>
      <c r="C105" s="19"/>
      <c r="D105" s="19"/>
      <c r="E105" s="19"/>
      <c r="F105" s="19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 ht="15.75" customHeight="1">
      <c r="A106" s="4"/>
      <c r="B106" s="19"/>
      <c r="C106" s="19"/>
      <c r="D106" s="19"/>
      <c r="E106" s="19"/>
      <c r="F106" s="19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 ht="15.75" customHeight="1">
      <c r="A107" s="4"/>
      <c r="B107" s="19"/>
      <c r="C107" s="19"/>
      <c r="D107" s="19"/>
      <c r="E107" s="19"/>
      <c r="F107" s="19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 ht="15.75" customHeight="1">
      <c r="A108" s="4"/>
      <c r="B108" s="19"/>
      <c r="C108" s="19"/>
      <c r="D108" s="19"/>
      <c r="E108" s="19"/>
      <c r="F108" s="19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 ht="15.75" customHeight="1">
      <c r="A109" s="4"/>
      <c r="B109" s="19"/>
      <c r="C109" s="19"/>
      <c r="D109" s="19"/>
      <c r="E109" s="19"/>
      <c r="F109" s="19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 ht="15.75" customHeight="1">
      <c r="A110" s="4"/>
      <c r="B110" s="19"/>
      <c r="C110" s="19"/>
      <c r="D110" s="19"/>
      <c r="E110" s="19"/>
      <c r="F110" s="19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 ht="15.75" customHeight="1">
      <c r="A111" s="4"/>
      <c r="B111" s="19"/>
      <c r="C111" s="19"/>
      <c r="D111" s="19"/>
      <c r="E111" s="19"/>
      <c r="F111" s="19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 ht="15.75" customHeight="1">
      <c r="A112" s="4"/>
      <c r="B112" s="19"/>
      <c r="C112" s="19"/>
      <c r="D112" s="19"/>
      <c r="E112" s="19"/>
      <c r="F112" s="19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 ht="15.75" customHeight="1">
      <c r="A113" s="4"/>
      <c r="B113" s="19"/>
      <c r="C113" s="19"/>
      <c r="D113" s="19"/>
      <c r="E113" s="19"/>
      <c r="F113" s="19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 ht="15.75" customHeight="1">
      <c r="A114" s="4"/>
      <c r="B114" s="19"/>
      <c r="C114" s="19"/>
      <c r="D114" s="19"/>
      <c r="E114" s="19"/>
      <c r="F114" s="19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 ht="15.75" customHeight="1">
      <c r="A115" s="4"/>
      <c r="B115" s="19"/>
      <c r="C115" s="19"/>
      <c r="D115" s="19"/>
      <c r="E115" s="19"/>
      <c r="F115" s="19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 ht="15.75" customHeight="1">
      <c r="A116" s="4"/>
      <c r="B116" s="19"/>
      <c r="C116" s="19"/>
      <c r="D116" s="19"/>
      <c r="E116" s="19"/>
      <c r="F116" s="19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 ht="15.75" customHeight="1">
      <c r="A117" s="4"/>
      <c r="B117" s="19"/>
      <c r="C117" s="19"/>
      <c r="D117" s="19"/>
      <c r="E117" s="19"/>
      <c r="F117" s="19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 ht="15.75" customHeight="1">
      <c r="A118" s="4"/>
      <c r="B118" s="19"/>
      <c r="C118" s="19"/>
      <c r="D118" s="19"/>
      <c r="E118" s="19"/>
      <c r="F118" s="19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 ht="15.75" customHeight="1">
      <c r="A119" s="4"/>
      <c r="B119" s="19"/>
      <c r="C119" s="19"/>
      <c r="D119" s="19"/>
      <c r="E119" s="19"/>
      <c r="F119" s="19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 ht="15.75" customHeight="1">
      <c r="A120" s="4"/>
      <c r="B120" s="19"/>
      <c r="C120" s="19"/>
      <c r="D120" s="19"/>
      <c r="E120" s="19"/>
      <c r="F120" s="19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 ht="15.75" customHeight="1">
      <c r="A121" s="4"/>
      <c r="B121" s="19"/>
      <c r="C121" s="19"/>
      <c r="D121" s="19"/>
      <c r="E121" s="19"/>
      <c r="F121" s="19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 ht="15.75" customHeight="1">
      <c r="A122" s="4"/>
      <c r="B122" s="19"/>
      <c r="C122" s="19"/>
      <c r="D122" s="19"/>
      <c r="E122" s="19"/>
      <c r="F122" s="19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 ht="15.75" customHeight="1">
      <c r="A123" s="4"/>
      <c r="B123" s="19"/>
      <c r="C123" s="19"/>
      <c r="D123" s="19"/>
      <c r="E123" s="19"/>
      <c r="F123" s="19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 ht="15.75" customHeight="1">
      <c r="A124" s="4"/>
      <c r="B124" s="19"/>
      <c r="C124" s="19"/>
      <c r="D124" s="19"/>
      <c r="E124" s="19"/>
      <c r="F124" s="19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 ht="15.75" customHeight="1">
      <c r="A125" s="4"/>
      <c r="B125" s="19"/>
      <c r="C125" s="19"/>
      <c r="D125" s="19"/>
      <c r="E125" s="19"/>
      <c r="F125" s="19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 ht="15.75" customHeight="1">
      <c r="A126" s="4"/>
      <c r="B126" s="19"/>
      <c r="C126" s="19"/>
      <c r="D126" s="19"/>
      <c r="E126" s="19"/>
      <c r="F126" s="19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 ht="15.75" customHeight="1">
      <c r="A127" s="4"/>
      <c r="B127" s="19"/>
      <c r="C127" s="19"/>
      <c r="D127" s="19"/>
      <c r="E127" s="19"/>
      <c r="F127" s="19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 ht="15.75" customHeight="1">
      <c r="A128" s="4"/>
      <c r="B128" s="19"/>
      <c r="C128" s="19"/>
      <c r="D128" s="19"/>
      <c r="E128" s="19"/>
      <c r="F128" s="19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 ht="15.75" customHeight="1">
      <c r="A129" s="4"/>
      <c r="B129" s="19"/>
      <c r="C129" s="19"/>
      <c r="D129" s="19"/>
      <c r="E129" s="19"/>
      <c r="F129" s="19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 ht="15.75" customHeight="1">
      <c r="A130" s="4"/>
      <c r="B130" s="19"/>
      <c r="C130" s="19"/>
      <c r="D130" s="19"/>
      <c r="E130" s="19"/>
      <c r="F130" s="19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 ht="15.75" customHeight="1">
      <c r="A131" s="4"/>
      <c r="B131" s="19"/>
      <c r="C131" s="19"/>
      <c r="D131" s="19"/>
      <c r="E131" s="19"/>
      <c r="F131" s="19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 ht="15.75" customHeight="1">
      <c r="A132" s="4"/>
      <c r="B132" s="19"/>
      <c r="C132" s="19"/>
      <c r="D132" s="19"/>
      <c r="E132" s="19"/>
      <c r="F132" s="19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 ht="15.75" customHeight="1">
      <c r="A133" s="4"/>
      <c r="B133" s="19"/>
      <c r="C133" s="19"/>
      <c r="D133" s="19"/>
      <c r="E133" s="19"/>
      <c r="F133" s="19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 ht="15.75" customHeight="1">
      <c r="A134" s="4"/>
      <c r="B134" s="19"/>
      <c r="C134" s="19"/>
      <c r="D134" s="19"/>
      <c r="E134" s="19"/>
      <c r="F134" s="19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 ht="15.75" customHeight="1">
      <c r="A135" s="4"/>
      <c r="B135" s="19"/>
      <c r="C135" s="19"/>
      <c r="D135" s="19"/>
      <c r="E135" s="19"/>
      <c r="F135" s="19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 ht="15.75" customHeight="1">
      <c r="A136" s="4"/>
      <c r="B136" s="19"/>
      <c r="C136" s="19"/>
      <c r="D136" s="19"/>
      <c r="E136" s="19"/>
      <c r="F136" s="19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 ht="15.75" customHeight="1">
      <c r="A137" s="4"/>
      <c r="B137" s="19"/>
      <c r="C137" s="19"/>
      <c r="D137" s="19"/>
      <c r="E137" s="19"/>
      <c r="F137" s="19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 ht="15.75" customHeight="1">
      <c r="A138" s="4"/>
      <c r="B138" s="19"/>
      <c r="C138" s="19"/>
      <c r="D138" s="19"/>
      <c r="E138" s="19"/>
      <c r="F138" s="19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 ht="15.75" customHeight="1">
      <c r="A139" s="4"/>
      <c r="B139" s="19"/>
      <c r="C139" s="19"/>
      <c r="D139" s="19"/>
      <c r="E139" s="19"/>
      <c r="F139" s="19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 ht="15.75" customHeight="1">
      <c r="A140" s="4"/>
      <c r="B140" s="19"/>
      <c r="C140" s="19"/>
      <c r="D140" s="19"/>
      <c r="E140" s="19"/>
      <c r="F140" s="19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 ht="15.75" customHeight="1">
      <c r="A141" s="4"/>
      <c r="B141" s="19"/>
      <c r="C141" s="19"/>
      <c r="D141" s="19"/>
      <c r="E141" s="19"/>
      <c r="F141" s="19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 ht="15.75" customHeight="1">
      <c r="A142" s="4"/>
      <c r="B142" s="19"/>
      <c r="C142" s="19"/>
      <c r="D142" s="19"/>
      <c r="E142" s="19"/>
      <c r="F142" s="19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 ht="15.75" customHeight="1">
      <c r="A143" s="4"/>
      <c r="B143" s="19"/>
      <c r="C143" s="19"/>
      <c r="D143" s="19"/>
      <c r="E143" s="19"/>
      <c r="F143" s="19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 ht="15.75" customHeight="1">
      <c r="A144" s="4"/>
      <c r="B144" s="19"/>
      <c r="C144" s="19"/>
      <c r="D144" s="19"/>
      <c r="E144" s="19"/>
      <c r="F144" s="19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 ht="15.75" customHeight="1">
      <c r="A145" s="4"/>
      <c r="B145" s="19"/>
      <c r="C145" s="19"/>
      <c r="D145" s="19"/>
      <c r="E145" s="19"/>
      <c r="F145" s="19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 ht="15.75" customHeight="1">
      <c r="A146" s="4"/>
      <c r="B146" s="19"/>
      <c r="C146" s="19"/>
      <c r="D146" s="19"/>
      <c r="E146" s="19"/>
      <c r="F146" s="19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 ht="15.75" customHeight="1">
      <c r="A147" s="4"/>
      <c r="B147" s="19"/>
      <c r="C147" s="19"/>
      <c r="D147" s="19"/>
      <c r="E147" s="19"/>
      <c r="F147" s="19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 ht="15.75" customHeight="1">
      <c r="A148" s="4"/>
      <c r="B148" s="19"/>
      <c r="C148" s="19"/>
      <c r="D148" s="19"/>
      <c r="E148" s="19"/>
      <c r="F148" s="19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 ht="15.75" customHeight="1">
      <c r="A149" s="4"/>
      <c r="B149" s="19"/>
      <c r="C149" s="19"/>
      <c r="D149" s="19"/>
      <c r="E149" s="19"/>
      <c r="F149" s="19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 ht="15.75" customHeight="1">
      <c r="A150" s="4"/>
      <c r="B150" s="19"/>
      <c r="C150" s="19"/>
      <c r="D150" s="19"/>
      <c r="E150" s="19"/>
      <c r="F150" s="19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 ht="15.75" customHeight="1">
      <c r="A151" s="4"/>
      <c r="B151" s="19"/>
      <c r="C151" s="19"/>
      <c r="D151" s="19"/>
      <c r="E151" s="19"/>
      <c r="F151" s="19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 ht="15.75" customHeight="1">
      <c r="A152" s="4"/>
      <c r="B152" s="19"/>
      <c r="C152" s="19"/>
      <c r="D152" s="19"/>
      <c r="E152" s="19"/>
      <c r="F152" s="19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 ht="15.75" customHeight="1">
      <c r="A153" s="4"/>
      <c r="B153" s="19"/>
      <c r="C153" s="19"/>
      <c r="D153" s="19"/>
      <c r="E153" s="19"/>
      <c r="F153" s="19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 ht="15.75" customHeight="1">
      <c r="A154" s="4"/>
      <c r="B154" s="19"/>
      <c r="C154" s="19"/>
      <c r="D154" s="19"/>
      <c r="E154" s="19"/>
      <c r="F154" s="19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 ht="15.75" customHeight="1">
      <c r="A155" s="4"/>
      <c r="B155" s="19"/>
      <c r="C155" s="19"/>
      <c r="D155" s="19"/>
      <c r="E155" s="19"/>
      <c r="F155" s="19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 ht="15.75" customHeight="1">
      <c r="A156" s="4"/>
      <c r="B156" s="19"/>
      <c r="C156" s="19"/>
      <c r="D156" s="19"/>
      <c r="E156" s="19"/>
      <c r="F156" s="19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 ht="15.75" customHeight="1">
      <c r="A157" s="4"/>
      <c r="B157" s="19"/>
      <c r="C157" s="19"/>
      <c r="D157" s="19"/>
      <c r="E157" s="19"/>
      <c r="F157" s="19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 ht="15.75" customHeight="1">
      <c r="A158" s="4"/>
      <c r="B158" s="19"/>
      <c r="C158" s="19"/>
      <c r="D158" s="19"/>
      <c r="E158" s="19"/>
      <c r="F158" s="19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 ht="15.75" customHeight="1">
      <c r="A159" s="4"/>
      <c r="B159" s="19"/>
      <c r="C159" s="19"/>
      <c r="D159" s="19"/>
      <c r="E159" s="19"/>
      <c r="F159" s="19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 ht="15.75" customHeight="1">
      <c r="A160" s="4"/>
      <c r="B160" s="19"/>
      <c r="C160" s="19"/>
      <c r="D160" s="19"/>
      <c r="E160" s="19"/>
      <c r="F160" s="19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 ht="15.75" customHeight="1">
      <c r="A161" s="4"/>
      <c r="B161" s="19"/>
      <c r="C161" s="19"/>
      <c r="D161" s="19"/>
      <c r="E161" s="19"/>
      <c r="F161" s="19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 ht="15.75" customHeight="1">
      <c r="A162" s="4"/>
      <c r="B162" s="19"/>
      <c r="C162" s="19"/>
      <c r="D162" s="19"/>
      <c r="E162" s="19"/>
      <c r="F162" s="19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 ht="15.75" customHeight="1">
      <c r="A163" s="4"/>
      <c r="B163" s="19"/>
      <c r="C163" s="19"/>
      <c r="D163" s="19"/>
      <c r="E163" s="19"/>
      <c r="F163" s="19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 ht="15.75" customHeight="1">
      <c r="A164" s="4"/>
      <c r="B164" s="19"/>
      <c r="C164" s="19"/>
      <c r="D164" s="19"/>
      <c r="E164" s="19"/>
      <c r="F164" s="19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 ht="15.75" customHeight="1">
      <c r="A165" s="4"/>
      <c r="B165" s="19"/>
      <c r="C165" s="19"/>
      <c r="D165" s="19"/>
      <c r="E165" s="19"/>
      <c r="F165" s="19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 ht="15.75" customHeight="1">
      <c r="A166" s="4"/>
      <c r="B166" s="19"/>
      <c r="C166" s="19"/>
      <c r="D166" s="19"/>
      <c r="E166" s="19"/>
      <c r="F166" s="19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 ht="15.75" customHeight="1">
      <c r="A167" s="4"/>
      <c r="B167" s="19"/>
      <c r="C167" s="19"/>
      <c r="D167" s="19"/>
      <c r="E167" s="19"/>
      <c r="F167" s="19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 ht="15.75" customHeight="1">
      <c r="A168" s="4"/>
      <c r="B168" s="19"/>
      <c r="C168" s="19"/>
      <c r="D168" s="19"/>
      <c r="E168" s="19"/>
      <c r="F168" s="19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 ht="15.75" customHeight="1">
      <c r="A169" s="4"/>
      <c r="B169" s="19"/>
      <c r="C169" s="19"/>
      <c r="D169" s="19"/>
      <c r="E169" s="19"/>
      <c r="F169" s="19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 ht="15.75" customHeight="1">
      <c r="A170" s="4"/>
      <c r="B170" s="19"/>
      <c r="C170" s="19"/>
      <c r="D170" s="19"/>
      <c r="E170" s="19"/>
      <c r="F170" s="19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 ht="15.75" customHeight="1">
      <c r="A171" s="4"/>
      <c r="B171" s="19"/>
      <c r="C171" s="19"/>
      <c r="D171" s="19"/>
      <c r="E171" s="19"/>
      <c r="F171" s="19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 ht="15.75" customHeight="1">
      <c r="A172" s="4"/>
      <c r="B172" s="19"/>
      <c r="C172" s="19"/>
      <c r="D172" s="19"/>
      <c r="E172" s="19"/>
      <c r="F172" s="19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 ht="15.75" customHeight="1">
      <c r="A173" s="4"/>
      <c r="B173" s="19"/>
      <c r="C173" s="19"/>
      <c r="D173" s="19"/>
      <c r="E173" s="19"/>
      <c r="F173" s="19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 ht="15.75" customHeight="1">
      <c r="A174" s="4"/>
      <c r="B174" s="19"/>
      <c r="C174" s="19"/>
      <c r="D174" s="19"/>
      <c r="E174" s="19"/>
      <c r="F174" s="19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 ht="15.75" customHeight="1">
      <c r="A175" s="4"/>
      <c r="B175" s="19"/>
      <c r="C175" s="19"/>
      <c r="D175" s="19"/>
      <c r="E175" s="19"/>
      <c r="F175" s="19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 ht="15.75" customHeight="1">
      <c r="A176" s="4"/>
      <c r="B176" s="19"/>
      <c r="C176" s="19"/>
      <c r="D176" s="19"/>
      <c r="E176" s="19"/>
      <c r="F176" s="19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 ht="15.75" customHeight="1">
      <c r="A177" s="4"/>
      <c r="B177" s="19"/>
      <c r="C177" s="19"/>
      <c r="D177" s="19"/>
      <c r="E177" s="19"/>
      <c r="F177" s="19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 ht="15.75" customHeight="1">
      <c r="A178" s="4"/>
      <c r="B178" s="19"/>
      <c r="C178" s="19"/>
      <c r="D178" s="19"/>
      <c r="E178" s="19"/>
      <c r="F178" s="19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 ht="15.75" customHeight="1">
      <c r="A179" s="4"/>
      <c r="B179" s="19"/>
      <c r="C179" s="19"/>
      <c r="D179" s="19"/>
      <c r="E179" s="19"/>
      <c r="F179" s="19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 ht="15.75" customHeight="1">
      <c r="A180" s="4"/>
      <c r="B180" s="19"/>
      <c r="C180" s="19"/>
      <c r="D180" s="19"/>
      <c r="E180" s="19"/>
      <c r="F180" s="19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 ht="15.75" customHeight="1">
      <c r="A181" s="4"/>
      <c r="B181" s="19"/>
      <c r="C181" s="19"/>
      <c r="D181" s="19"/>
      <c r="E181" s="19"/>
      <c r="F181" s="19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 ht="15.75" customHeight="1">
      <c r="A182" s="4"/>
      <c r="B182" s="19"/>
      <c r="C182" s="19"/>
      <c r="D182" s="19"/>
      <c r="E182" s="19"/>
      <c r="F182" s="19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 ht="15.75" customHeight="1">
      <c r="A183" s="4"/>
      <c r="B183" s="19"/>
      <c r="C183" s="19"/>
      <c r="D183" s="19"/>
      <c r="E183" s="19"/>
      <c r="F183" s="19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 ht="15.75" customHeight="1">
      <c r="A184" s="4"/>
      <c r="B184" s="19"/>
      <c r="C184" s="19"/>
      <c r="D184" s="19"/>
      <c r="E184" s="19"/>
      <c r="F184" s="19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 ht="15.75" customHeight="1">
      <c r="A185" s="4"/>
      <c r="B185" s="19"/>
      <c r="C185" s="19"/>
      <c r="D185" s="19"/>
      <c r="E185" s="19"/>
      <c r="F185" s="19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 ht="15.75" customHeight="1">
      <c r="A186" s="4"/>
      <c r="B186" s="19"/>
      <c r="C186" s="19"/>
      <c r="D186" s="19"/>
      <c r="E186" s="19"/>
      <c r="F186" s="19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 ht="15.75" customHeight="1">
      <c r="A187" s="4"/>
      <c r="B187" s="19"/>
      <c r="C187" s="19"/>
      <c r="D187" s="19"/>
      <c r="E187" s="19"/>
      <c r="F187" s="19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 ht="15.75" customHeight="1">
      <c r="A188" s="4"/>
      <c r="B188" s="19"/>
      <c r="C188" s="19"/>
      <c r="D188" s="19"/>
      <c r="E188" s="19"/>
      <c r="F188" s="19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 ht="15.75" customHeight="1">
      <c r="A189" s="4"/>
      <c r="B189" s="19"/>
      <c r="C189" s="19"/>
      <c r="D189" s="19"/>
      <c r="E189" s="19"/>
      <c r="F189" s="19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 ht="15.75" customHeight="1">
      <c r="A190" s="4"/>
      <c r="B190" s="19"/>
      <c r="C190" s="19"/>
      <c r="D190" s="19"/>
      <c r="E190" s="19"/>
      <c r="F190" s="19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 ht="15.75" customHeight="1">
      <c r="A191" s="4"/>
      <c r="B191" s="19"/>
      <c r="C191" s="19"/>
      <c r="D191" s="19"/>
      <c r="E191" s="19"/>
      <c r="F191" s="19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 ht="15.75" customHeight="1">
      <c r="A192" s="4"/>
      <c r="B192" s="19"/>
      <c r="C192" s="19"/>
      <c r="D192" s="19"/>
      <c r="E192" s="19"/>
      <c r="F192" s="19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 ht="15.75" customHeight="1">
      <c r="A193" s="4"/>
      <c r="B193" s="19"/>
      <c r="C193" s="19"/>
      <c r="D193" s="19"/>
      <c r="E193" s="19"/>
      <c r="F193" s="19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 ht="15.75" customHeight="1">
      <c r="A194" s="4"/>
      <c r="B194" s="19"/>
      <c r="C194" s="19"/>
      <c r="D194" s="19"/>
      <c r="E194" s="19"/>
      <c r="F194" s="19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 ht="15.75" customHeight="1">
      <c r="A195" s="4"/>
      <c r="B195" s="19"/>
      <c r="C195" s="19"/>
      <c r="D195" s="19"/>
      <c r="E195" s="19"/>
      <c r="F195" s="19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 ht="15.75" customHeight="1">
      <c r="A196" s="4"/>
      <c r="B196" s="19"/>
      <c r="C196" s="19"/>
      <c r="D196" s="19"/>
      <c r="E196" s="19"/>
      <c r="F196" s="19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 ht="15.75" customHeight="1">
      <c r="A197" s="4"/>
      <c r="B197" s="19"/>
      <c r="C197" s="19"/>
      <c r="D197" s="19"/>
      <c r="E197" s="19"/>
      <c r="F197" s="19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 ht="15.75" customHeight="1">
      <c r="A198" s="4"/>
      <c r="B198" s="19"/>
      <c r="C198" s="19"/>
      <c r="D198" s="19"/>
      <c r="E198" s="19"/>
      <c r="F198" s="19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 ht="15.75" customHeight="1">
      <c r="A199" s="4"/>
      <c r="B199" s="19"/>
      <c r="C199" s="19"/>
      <c r="D199" s="19"/>
      <c r="E199" s="19"/>
      <c r="F199" s="19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 ht="15.75" customHeight="1">
      <c r="A200" s="4"/>
      <c r="B200" s="19"/>
      <c r="C200" s="19"/>
      <c r="D200" s="19"/>
      <c r="E200" s="19"/>
      <c r="F200" s="19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 ht="15.75" customHeight="1">
      <c r="A201" s="4"/>
      <c r="B201" s="19"/>
      <c r="C201" s="19"/>
      <c r="D201" s="19"/>
      <c r="E201" s="19"/>
      <c r="F201" s="19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 ht="15.75" customHeight="1">
      <c r="A202" s="4"/>
      <c r="B202" s="19"/>
      <c r="C202" s="19"/>
      <c r="D202" s="19"/>
      <c r="E202" s="19"/>
      <c r="F202" s="19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 ht="15.75" customHeight="1">
      <c r="A203" s="4"/>
      <c r="B203" s="19"/>
      <c r="C203" s="19"/>
      <c r="D203" s="19"/>
      <c r="E203" s="19"/>
      <c r="F203" s="19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 ht="15.75" customHeight="1">
      <c r="A204" s="4"/>
      <c r="B204" s="19"/>
      <c r="C204" s="19"/>
      <c r="D204" s="19"/>
      <c r="E204" s="19"/>
      <c r="F204" s="19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 ht="15.75" customHeight="1">
      <c r="A205" s="4"/>
      <c r="B205" s="19"/>
      <c r="C205" s="19"/>
      <c r="D205" s="19"/>
      <c r="E205" s="19"/>
      <c r="F205" s="19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 ht="15.75" customHeight="1">
      <c r="A206" s="4"/>
      <c r="B206" s="19"/>
      <c r="C206" s="19"/>
      <c r="D206" s="19"/>
      <c r="E206" s="19"/>
      <c r="F206" s="19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 ht="15.75" customHeight="1">
      <c r="A207" s="4"/>
      <c r="B207" s="19"/>
      <c r="C207" s="19"/>
      <c r="D207" s="19"/>
      <c r="E207" s="19"/>
      <c r="F207" s="19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 ht="15.75" customHeight="1">
      <c r="A208" s="4"/>
      <c r="B208" s="19"/>
      <c r="C208" s="19"/>
      <c r="D208" s="19"/>
      <c r="E208" s="19"/>
      <c r="F208" s="19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 ht="15.75" customHeight="1">
      <c r="A209" s="4"/>
      <c r="B209" s="19"/>
      <c r="C209" s="19"/>
      <c r="D209" s="19"/>
      <c r="E209" s="19"/>
      <c r="F209" s="19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 ht="15.75" customHeight="1">
      <c r="A210" s="4"/>
      <c r="B210" s="19"/>
      <c r="C210" s="19"/>
      <c r="D210" s="19"/>
      <c r="E210" s="19"/>
      <c r="F210" s="19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 ht="15.75" customHeight="1">
      <c r="A211" s="4"/>
      <c r="B211" s="19"/>
      <c r="C211" s="19"/>
      <c r="D211" s="19"/>
      <c r="E211" s="19"/>
      <c r="F211" s="19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 ht="15.75" customHeight="1">
      <c r="A212" s="4"/>
      <c r="B212" s="19"/>
      <c r="C212" s="19"/>
      <c r="D212" s="19"/>
      <c r="E212" s="19"/>
      <c r="F212" s="19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 ht="15.75" customHeight="1">
      <c r="A213" s="4"/>
      <c r="B213" s="19"/>
      <c r="C213" s="19"/>
      <c r="D213" s="19"/>
      <c r="E213" s="19"/>
      <c r="F213" s="19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 ht="15.75" customHeight="1">
      <c r="A214" s="4"/>
      <c r="B214" s="19"/>
      <c r="C214" s="19"/>
      <c r="D214" s="19"/>
      <c r="E214" s="19"/>
      <c r="F214" s="19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 ht="15.75" customHeight="1">
      <c r="A215" s="4"/>
      <c r="B215" s="19"/>
      <c r="C215" s="19"/>
      <c r="D215" s="19"/>
      <c r="E215" s="19"/>
      <c r="F215" s="19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 ht="15.75" customHeight="1">
      <c r="A216" s="4"/>
      <c r="B216" s="19"/>
      <c r="C216" s="19"/>
      <c r="D216" s="19"/>
      <c r="E216" s="19"/>
      <c r="F216" s="19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 ht="15.75" customHeight="1">
      <c r="A217" s="4"/>
      <c r="B217" s="19"/>
      <c r="C217" s="19"/>
      <c r="D217" s="19"/>
      <c r="E217" s="19"/>
      <c r="F217" s="19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 ht="15.75" customHeight="1">
      <c r="A218" s="4"/>
      <c r="B218" s="19"/>
      <c r="C218" s="19"/>
      <c r="D218" s="19"/>
      <c r="E218" s="19"/>
      <c r="F218" s="19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 ht="15.75" customHeight="1">
      <c r="A219" s="4"/>
      <c r="B219" s="19"/>
      <c r="C219" s="19"/>
      <c r="D219" s="19"/>
      <c r="E219" s="19"/>
      <c r="F219" s="19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 ht="15.75" customHeight="1">
      <c r="A220" s="4"/>
      <c r="B220" s="19"/>
      <c r="C220" s="19"/>
      <c r="D220" s="19"/>
      <c r="E220" s="19"/>
      <c r="F220" s="19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 ht="15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 ht="15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 ht="15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 ht="15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 ht="15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 ht="15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 ht="15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 ht="15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 ht="15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 ht="15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 ht="15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 ht="15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 ht="15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 ht="15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 ht="15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 ht="15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 ht="15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 ht="15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 ht="15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 ht="15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 ht="15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 ht="15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 ht="15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 ht="15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 ht="15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 ht="15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 ht="15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 ht="15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 ht="15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 ht="15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 ht="15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 ht="15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 ht="15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 ht="15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 ht="15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 ht="15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 ht="15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 ht="15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 ht="15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 ht="15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 ht="15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 ht="15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 ht="15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 ht="15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 ht="15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 ht="15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 ht="15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 ht="15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 ht="15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 ht="15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 ht="15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 ht="15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 ht="15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 ht="15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 ht="15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 ht="15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 ht="15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 ht="15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 ht="15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 ht="15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 ht="15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 ht="15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 ht="15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 ht="15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 ht="15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 ht="15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 ht="15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 ht="15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 ht="15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 ht="15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 ht="15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 ht="15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 ht="15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 ht="15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 ht="15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 ht="15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 ht="15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 ht="15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 ht="15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 ht="15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 ht="15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 ht="15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 ht="15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 ht="15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 ht="15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 ht="15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 ht="15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 ht="15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 ht="15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 ht="15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 ht="15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 ht="15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 ht="15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 ht="15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 ht="15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 ht="15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 ht="15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 ht="15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 ht="15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 ht="15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 ht="15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 ht="15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 ht="15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 ht="15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 ht="15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 ht="15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 ht="15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 ht="15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 ht="15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 ht="15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 ht="15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 ht="15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 ht="15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 ht="15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 ht="15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 ht="15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 ht="15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 ht="15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 ht="15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 ht="15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 ht="15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 ht="15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 ht="15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 ht="15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 ht="15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 ht="15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 ht="15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 ht="15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 ht="15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 ht="15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 ht="15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 ht="15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 ht="15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 ht="15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 ht="15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 ht="15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 ht="15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 ht="15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 ht="15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 ht="15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 ht="15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 ht="15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 ht="15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 ht="15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 ht="15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 ht="15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 ht="15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 ht="15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 ht="15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 ht="15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 ht="15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 ht="15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 ht="15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 ht="15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 ht="15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 ht="15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 ht="15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 ht="15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 ht="15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 ht="15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 ht="15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 ht="15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 ht="15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 ht="15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 ht="15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 ht="15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 ht="15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 ht="15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 ht="15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 ht="15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 ht="15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 ht="15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 ht="15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 ht="15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 ht="15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 ht="15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 ht="15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 ht="15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 ht="15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 ht="15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 ht="15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 ht="15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 ht="15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 ht="15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 ht="15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 ht="15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 ht="15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 ht="15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 ht="15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 ht="15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 ht="15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 ht="15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 ht="15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 ht="15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 ht="15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 ht="15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 ht="15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 ht="15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 ht="15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 ht="15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 ht="15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 ht="15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 ht="15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 ht="15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 ht="15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 ht="15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 ht="15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 ht="15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 ht="15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 ht="15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 ht="15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 ht="15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 ht="15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 ht="15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 ht="15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 ht="15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 ht="15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 ht="15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 ht="15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 ht="15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 ht="15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 ht="15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 ht="15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 ht="15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 ht="15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 ht="15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 ht="15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 ht="15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 ht="15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 ht="15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 ht="15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 ht="15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 ht="15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 ht="15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 ht="15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 ht="15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 ht="15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 ht="15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 ht="15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 ht="15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 ht="15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 ht="15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 ht="15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 ht="15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 ht="15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 ht="15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 ht="15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 ht="15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 ht="15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 ht="15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 ht="15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 ht="15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 ht="15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 ht="15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 ht="15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 ht="15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 ht="15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 ht="15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 ht="15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 ht="15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 ht="15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 ht="15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 ht="15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 ht="15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 ht="15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 ht="15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 ht="15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 ht="15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 ht="15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 ht="15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 ht="15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 ht="15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 ht="15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 ht="15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 ht="15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 ht="15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 ht="15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 ht="15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 ht="15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 ht="15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 ht="15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 ht="15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 ht="15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 ht="15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 ht="15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 ht="15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 ht="15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 ht="15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 ht="15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 ht="15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 ht="15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 ht="15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 ht="15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 ht="15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 ht="15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 ht="15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 ht="15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 ht="15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 ht="15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 ht="15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 ht="15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 ht="15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 ht="15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 ht="15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 ht="15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 ht="15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 ht="15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 ht="15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 ht="15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 ht="15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 ht="15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 ht="15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 ht="15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 ht="15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 ht="15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 ht="15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 ht="15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 ht="15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 ht="15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 ht="15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 ht="15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 ht="15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 ht="15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 ht="15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 ht="15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 ht="15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 ht="15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 ht="15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 ht="15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 ht="15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 ht="15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 ht="15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 ht="15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 ht="15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 ht="15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 ht="15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 ht="15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 ht="15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 ht="15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 ht="15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 ht="15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 ht="15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 ht="15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 ht="15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 ht="15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 ht="15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 ht="15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 ht="15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 ht="15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 ht="15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 ht="15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 ht="15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 ht="15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 ht="15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 ht="15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 ht="15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 ht="15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 ht="15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 ht="15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 ht="15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 ht="15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 ht="15.7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 ht="15.7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 ht="15.7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 ht="15.7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 ht="15.7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 ht="15.7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 ht="15.7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 ht="15.7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 ht="15.7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 ht="15.7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 ht="15.7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 ht="15.7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 ht="15.7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 ht="15.7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 ht="15.7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 ht="15.7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 ht="15.7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 ht="15.7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 ht="15.7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 ht="15.7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 ht="15.7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 ht="15.7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 ht="15.7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 ht="15.7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34.0"/>
    <col customWidth="1" min="2" max="3" width="16.0"/>
    <col customWidth="1" min="4" max="4" width="46.0"/>
    <col customWidth="1" min="5" max="7" width="16.0"/>
    <col customWidth="1" min="8" max="26" width="8.71"/>
  </cols>
  <sheetData>
    <row r="1" ht="17.25" customHeight="1">
      <c r="A1" s="1" t="s">
        <v>69</v>
      </c>
      <c r="B1" s="2"/>
      <c r="C1" s="2"/>
      <c r="D1" s="2"/>
      <c r="E1" s="2"/>
      <c r="F1" s="2"/>
      <c r="G1" s="2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9.75" customHeight="1">
      <c r="A2" s="5" t="s">
        <v>70</v>
      </c>
      <c r="B2" s="2"/>
      <c r="C2" s="2"/>
      <c r="D2" s="2"/>
      <c r="E2" s="2"/>
      <c r="F2" s="2"/>
      <c r="G2" s="2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7.25" customHeight="1">
      <c r="A3" s="6"/>
      <c r="B3" s="7"/>
      <c r="C3" s="7"/>
      <c r="D3" s="7"/>
      <c r="E3" s="7"/>
      <c r="F3" s="7"/>
      <c r="G3" s="7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7.25" customHeight="1">
      <c r="A4" s="3" t="s">
        <v>71</v>
      </c>
      <c r="B4" s="2" t="s">
        <v>72</v>
      </c>
      <c r="C4" s="2" t="s">
        <v>73</v>
      </c>
      <c r="D4" s="2" t="s">
        <v>74</v>
      </c>
      <c r="E4" s="2" t="s">
        <v>75</v>
      </c>
      <c r="F4" s="2" t="s">
        <v>76</v>
      </c>
      <c r="G4" s="2" t="s">
        <v>77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7.25" customHeight="1">
      <c r="A5" s="3" t="s">
        <v>78</v>
      </c>
      <c r="B5" s="2" t="s">
        <v>79</v>
      </c>
      <c r="C5" s="2" t="s">
        <v>80</v>
      </c>
      <c r="D5" s="2" t="s">
        <v>81</v>
      </c>
      <c r="E5" s="8">
        <v>1.01</v>
      </c>
      <c r="F5" s="8">
        <v>5.38</v>
      </c>
      <c r="G5" s="8">
        <v>9.34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7.25" customHeight="1">
      <c r="A6" s="3" t="s">
        <v>82</v>
      </c>
      <c r="B6" s="2" t="s">
        <v>83</v>
      </c>
      <c r="C6" s="2" t="s">
        <v>84</v>
      </c>
      <c r="D6" s="2" t="s">
        <v>85</v>
      </c>
      <c r="E6" s="8">
        <v>0.46</v>
      </c>
      <c r="F6" s="8">
        <v>6.8</v>
      </c>
      <c r="G6" s="8">
        <v>23.48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7.25" customHeight="1">
      <c r="A7" s="3" t="s">
        <v>86</v>
      </c>
      <c r="B7" s="2" t="s">
        <v>87</v>
      </c>
      <c r="C7" s="2" t="s">
        <v>88</v>
      </c>
      <c r="D7" s="2" t="s">
        <v>89</v>
      </c>
      <c r="E7" s="8">
        <v>0.97</v>
      </c>
      <c r="F7" s="8">
        <v>6.89</v>
      </c>
      <c r="G7" s="8">
        <v>12.18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7.25" customHeight="1">
      <c r="A8" s="3" t="s">
        <v>90</v>
      </c>
      <c r="B8" s="2" t="s">
        <v>91</v>
      </c>
      <c r="C8" s="2" t="s">
        <v>92</v>
      </c>
      <c r="D8" s="2" t="s">
        <v>93</v>
      </c>
      <c r="E8" s="8">
        <v>1.18</v>
      </c>
      <c r="F8" s="8">
        <v>4.96</v>
      </c>
      <c r="G8" s="8">
        <v>7.78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7.25" customHeight="1">
      <c r="A9" s="3" t="s">
        <v>94</v>
      </c>
      <c r="B9" s="2" t="s">
        <v>95</v>
      </c>
      <c r="C9" s="2" t="s">
        <v>80</v>
      </c>
      <c r="D9" s="2" t="s">
        <v>96</v>
      </c>
      <c r="E9" s="8">
        <v>1.22</v>
      </c>
      <c r="F9" s="8">
        <v>6.53</v>
      </c>
      <c r="G9" s="8">
        <v>9.6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7.25" customHeight="1">
      <c r="A10" s="3" t="s">
        <v>97</v>
      </c>
      <c r="B10" s="2" t="s">
        <v>98</v>
      </c>
      <c r="C10" s="2" t="s">
        <v>99</v>
      </c>
      <c r="D10" s="2" t="s">
        <v>100</v>
      </c>
      <c r="E10" s="8">
        <v>0.61</v>
      </c>
      <c r="F10" s="8">
        <v>4.03</v>
      </c>
      <c r="G10" s="8">
        <v>7.07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7.25" customHeight="1">
      <c r="A11" s="6"/>
      <c r="B11" s="7"/>
      <c r="C11" s="7"/>
      <c r="D11" s="7"/>
      <c r="E11" s="7"/>
      <c r="F11" s="7"/>
      <c r="G11" s="7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7.25" customHeight="1">
      <c r="A12" s="3" t="s">
        <v>101</v>
      </c>
      <c r="B12" s="2" t="s">
        <v>102</v>
      </c>
      <c r="C12" s="2" t="s">
        <v>103</v>
      </c>
      <c r="D12" s="2" t="s">
        <v>104</v>
      </c>
      <c r="E12" s="2" t="s">
        <v>105</v>
      </c>
      <c r="F12" s="2" t="s">
        <v>106</v>
      </c>
      <c r="G12" s="2" t="s">
        <v>107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7.25" customHeight="1">
      <c r="A13" s="3" t="s">
        <v>108</v>
      </c>
      <c r="B13" s="8">
        <f>QUARTILE(E5:E10, 1)</f>
        <v>0.7</v>
      </c>
      <c r="C13" s="8">
        <f>MEDIAN(E5:E10)</f>
        <v>0.99</v>
      </c>
      <c r="D13" s="8">
        <f>QUARTILE(E5:E10, 3)</f>
        <v>1.1375</v>
      </c>
      <c r="E13" s="17">
        <f>(B13*Forecast!$B$4-WACC!$B$8)/WACC!$B$6</f>
        <v>23.5453483</v>
      </c>
      <c r="F13" s="17">
        <f>(C13*Forecast!$B$4-WACC!$B$8)/WACC!$B$6</f>
        <v>34.71863643</v>
      </c>
      <c r="G13" s="17">
        <f>(D13*Forecast!$B$4-WACC!$B$8)/WACC!$B$6</f>
        <v>40.40160194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7.25" customHeight="1">
      <c r="A14" s="3" t="s">
        <v>109</v>
      </c>
      <c r="B14" s="8">
        <f>QUARTILE(F5:F10, 1)</f>
        <v>5.065</v>
      </c>
      <c r="C14" s="8">
        <f>MEDIAN(F5:F10)</f>
        <v>5.955</v>
      </c>
      <c r="D14" s="8">
        <f>QUARTILE(F5:F10, 3)</f>
        <v>6.7325</v>
      </c>
      <c r="E14" s="17">
        <f>(B14*Forecast!$B$7-WACC!$B$8)/WACC!$B$6</f>
        <v>31.70184863</v>
      </c>
      <c r="F14" s="17">
        <f>(C14*Forecast!$B$7-WACC!$B$8)/WACC!$B$6</f>
        <v>37.87412711</v>
      </c>
      <c r="G14" s="17">
        <f>(D14*Forecast!$B$7-WACC!$B$8)/WACC!$B$6</f>
        <v>43.26620185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7.25" customHeight="1">
      <c r="A15" s="3" t="s">
        <v>110</v>
      </c>
      <c r="B15" s="8">
        <f>QUARTILE(G5:G10, 1)</f>
        <v>8.17</v>
      </c>
      <c r="C15" s="8">
        <f>MEDIAN(G5:G10)</f>
        <v>9.47</v>
      </c>
      <c r="D15" s="8">
        <f>QUARTILE(G5:G10, 3)</f>
        <v>11.535</v>
      </c>
      <c r="E15" s="8">
        <f>(B15*Forecast!$B$9-WACC!$B$8)/WACC!$B$6</f>
        <v>30.25664161</v>
      </c>
      <c r="F15" s="8">
        <f>(C15*Forecast!$B$9-WACC!$B$8)/WACC!$B$6</f>
        <v>35.61596705</v>
      </c>
      <c r="G15" s="8">
        <f>(D15*Forecast!$B$9-WACC!$B$8)/WACC!$B$6</f>
        <v>44.12904939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5.75" customHeight="1">
      <c r="A16" s="4"/>
      <c r="B16" s="20"/>
      <c r="C16" s="20"/>
      <c r="D16" s="20"/>
      <c r="E16" s="20"/>
      <c r="F16" s="20"/>
      <c r="G16" s="2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15.75" customHeight="1">
      <c r="A17" s="4"/>
      <c r="B17" s="20"/>
      <c r="C17" s="20"/>
      <c r="D17" s="20"/>
      <c r="E17" s="20"/>
      <c r="F17" s="20"/>
      <c r="G17" s="2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15.75" customHeight="1">
      <c r="A18" s="4"/>
      <c r="B18" s="20"/>
      <c r="C18" s="20"/>
      <c r="D18" s="20"/>
      <c r="E18" s="20"/>
      <c r="F18" s="20"/>
      <c r="G18" s="2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15.75" customHeight="1">
      <c r="A19" s="4"/>
      <c r="B19" s="20"/>
      <c r="C19" s="20"/>
      <c r="D19" s="20"/>
      <c r="E19" s="20"/>
      <c r="F19" s="20"/>
      <c r="G19" s="2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15.75" customHeight="1">
      <c r="A20" s="4"/>
      <c r="B20" s="20"/>
      <c r="C20" s="20"/>
      <c r="D20" s="20"/>
      <c r="E20" s="20"/>
      <c r="F20" s="20"/>
      <c r="G20" s="2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15.75" customHeight="1">
      <c r="A21" s="4"/>
      <c r="B21" s="20"/>
      <c r="C21" s="20"/>
      <c r="D21" s="20"/>
      <c r="E21" s="20"/>
      <c r="F21" s="20"/>
      <c r="G21" s="2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15.75" customHeight="1">
      <c r="A22" s="4"/>
      <c r="B22" s="20"/>
      <c r="C22" s="20"/>
      <c r="D22" s="20"/>
      <c r="E22" s="20"/>
      <c r="F22" s="20"/>
      <c r="G22" s="2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15.75" customHeight="1">
      <c r="A23" s="4"/>
      <c r="B23" s="20"/>
      <c r="C23" s="20"/>
      <c r="D23" s="20"/>
      <c r="E23" s="20"/>
      <c r="F23" s="20"/>
      <c r="G23" s="2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5.75" customHeight="1">
      <c r="A24" s="4"/>
      <c r="B24" s="20"/>
      <c r="C24" s="20"/>
      <c r="D24" s="20"/>
      <c r="E24" s="20"/>
      <c r="F24" s="20"/>
      <c r="G24" s="2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5.75" customHeight="1">
      <c r="A25" s="4"/>
      <c r="B25" s="20"/>
      <c r="C25" s="20"/>
      <c r="D25" s="20"/>
      <c r="E25" s="20"/>
      <c r="F25" s="20"/>
      <c r="G25" s="2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5.75" customHeight="1">
      <c r="A26" s="4"/>
      <c r="B26" s="20"/>
      <c r="C26" s="20"/>
      <c r="D26" s="20"/>
      <c r="E26" s="20"/>
      <c r="F26" s="20"/>
      <c r="G26" s="2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5.75" customHeight="1">
      <c r="A27" s="4"/>
      <c r="B27" s="20"/>
      <c r="C27" s="20"/>
      <c r="D27" s="20"/>
      <c r="E27" s="20"/>
      <c r="F27" s="20"/>
      <c r="G27" s="2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5.75" customHeight="1">
      <c r="A28" s="4"/>
      <c r="B28" s="20"/>
      <c r="C28" s="20"/>
      <c r="D28" s="20"/>
      <c r="E28" s="20"/>
      <c r="F28" s="20"/>
      <c r="G28" s="2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5.75" customHeight="1">
      <c r="A29" s="4"/>
      <c r="B29" s="20"/>
      <c r="C29" s="20"/>
      <c r="D29" s="20"/>
      <c r="E29" s="20"/>
      <c r="F29" s="20"/>
      <c r="G29" s="2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5.75" customHeight="1">
      <c r="A30" s="4"/>
      <c r="B30" s="20"/>
      <c r="C30" s="20"/>
      <c r="D30" s="20"/>
      <c r="E30" s="20"/>
      <c r="F30" s="20"/>
      <c r="G30" s="2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5.75" customHeight="1">
      <c r="A31" s="4"/>
      <c r="B31" s="20"/>
      <c r="C31" s="20"/>
      <c r="D31" s="20"/>
      <c r="E31" s="20"/>
      <c r="F31" s="20"/>
      <c r="G31" s="2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5.75" customHeight="1">
      <c r="A32" s="4"/>
      <c r="B32" s="20"/>
      <c r="C32" s="20"/>
      <c r="D32" s="20"/>
      <c r="E32" s="20"/>
      <c r="F32" s="20"/>
      <c r="G32" s="2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5.75" customHeight="1">
      <c r="A33" s="4"/>
      <c r="B33" s="20"/>
      <c r="C33" s="20"/>
      <c r="D33" s="20"/>
      <c r="E33" s="20"/>
      <c r="F33" s="20"/>
      <c r="G33" s="2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5.75" customHeight="1">
      <c r="A34" s="4"/>
      <c r="B34" s="20"/>
      <c r="C34" s="20"/>
      <c r="D34" s="20"/>
      <c r="E34" s="20"/>
      <c r="F34" s="20"/>
      <c r="G34" s="2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5.75" customHeight="1">
      <c r="A35" s="4"/>
      <c r="B35" s="20"/>
      <c r="C35" s="20"/>
      <c r="D35" s="20"/>
      <c r="E35" s="20"/>
      <c r="F35" s="20"/>
      <c r="G35" s="2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5.75" customHeight="1">
      <c r="A36" s="4"/>
      <c r="B36" s="20"/>
      <c r="C36" s="20"/>
      <c r="D36" s="20"/>
      <c r="E36" s="20"/>
      <c r="F36" s="20"/>
      <c r="G36" s="2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5.75" customHeight="1">
      <c r="A37" s="4"/>
      <c r="B37" s="20"/>
      <c r="C37" s="20"/>
      <c r="D37" s="20"/>
      <c r="E37" s="20"/>
      <c r="F37" s="20"/>
      <c r="G37" s="2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5.75" customHeight="1">
      <c r="A38" s="4"/>
      <c r="B38" s="20"/>
      <c r="C38" s="20"/>
      <c r="D38" s="20"/>
      <c r="E38" s="20"/>
      <c r="F38" s="20"/>
      <c r="G38" s="2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5.75" customHeight="1">
      <c r="A39" s="4"/>
      <c r="B39" s="20"/>
      <c r="C39" s="20"/>
      <c r="D39" s="20"/>
      <c r="E39" s="20"/>
      <c r="F39" s="20"/>
      <c r="G39" s="2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5.75" customHeight="1">
      <c r="A40" s="4"/>
      <c r="B40" s="20"/>
      <c r="C40" s="20"/>
      <c r="D40" s="20"/>
      <c r="E40" s="20"/>
      <c r="F40" s="20"/>
      <c r="G40" s="2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5.75" customHeight="1">
      <c r="A41" s="4"/>
      <c r="B41" s="20"/>
      <c r="C41" s="20"/>
      <c r="D41" s="20"/>
      <c r="E41" s="20"/>
      <c r="F41" s="20"/>
      <c r="G41" s="2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5.75" customHeight="1">
      <c r="A42" s="4"/>
      <c r="B42" s="20"/>
      <c r="C42" s="20"/>
      <c r="D42" s="20"/>
      <c r="E42" s="20"/>
      <c r="F42" s="20"/>
      <c r="G42" s="2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5.75" customHeight="1">
      <c r="A43" s="4"/>
      <c r="B43" s="20"/>
      <c r="C43" s="20"/>
      <c r="D43" s="20"/>
      <c r="E43" s="20"/>
      <c r="F43" s="20"/>
      <c r="G43" s="2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5.75" customHeight="1">
      <c r="A44" s="4"/>
      <c r="B44" s="20"/>
      <c r="C44" s="20"/>
      <c r="D44" s="20"/>
      <c r="E44" s="20"/>
      <c r="F44" s="20"/>
      <c r="G44" s="2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5.75" customHeight="1">
      <c r="A45" s="4"/>
      <c r="B45" s="20"/>
      <c r="C45" s="20"/>
      <c r="D45" s="20"/>
      <c r="E45" s="20"/>
      <c r="F45" s="20"/>
      <c r="G45" s="2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5.75" customHeight="1">
      <c r="A46" s="4"/>
      <c r="B46" s="20"/>
      <c r="C46" s="20"/>
      <c r="D46" s="20"/>
      <c r="E46" s="20"/>
      <c r="F46" s="20"/>
      <c r="G46" s="2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5.75" customHeight="1">
      <c r="A47" s="4"/>
      <c r="B47" s="20"/>
      <c r="C47" s="20"/>
      <c r="D47" s="20"/>
      <c r="E47" s="20"/>
      <c r="F47" s="20"/>
      <c r="G47" s="2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5.75" customHeight="1">
      <c r="A48" s="4"/>
      <c r="B48" s="20"/>
      <c r="C48" s="20"/>
      <c r="D48" s="20"/>
      <c r="E48" s="20"/>
      <c r="F48" s="20"/>
      <c r="G48" s="2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5.75" customHeight="1">
      <c r="A49" s="4"/>
      <c r="B49" s="20"/>
      <c r="C49" s="20"/>
      <c r="D49" s="20"/>
      <c r="E49" s="20"/>
      <c r="F49" s="20"/>
      <c r="G49" s="2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5.75" customHeight="1">
      <c r="A50" s="4"/>
      <c r="B50" s="20"/>
      <c r="C50" s="20"/>
      <c r="D50" s="20"/>
      <c r="E50" s="20"/>
      <c r="F50" s="20"/>
      <c r="G50" s="2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5.75" customHeight="1">
      <c r="A51" s="4"/>
      <c r="B51" s="20"/>
      <c r="C51" s="20"/>
      <c r="D51" s="20"/>
      <c r="E51" s="20"/>
      <c r="F51" s="20"/>
      <c r="G51" s="2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5.75" customHeight="1">
      <c r="A52" s="4"/>
      <c r="B52" s="20"/>
      <c r="C52" s="20"/>
      <c r="D52" s="20"/>
      <c r="E52" s="20"/>
      <c r="F52" s="20"/>
      <c r="G52" s="2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5.75" customHeight="1">
      <c r="A53" s="4"/>
      <c r="B53" s="20"/>
      <c r="C53" s="20"/>
      <c r="D53" s="20"/>
      <c r="E53" s="20"/>
      <c r="F53" s="20"/>
      <c r="G53" s="2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5.75" customHeight="1">
      <c r="A54" s="4"/>
      <c r="B54" s="20"/>
      <c r="C54" s="20"/>
      <c r="D54" s="20"/>
      <c r="E54" s="20"/>
      <c r="F54" s="20"/>
      <c r="G54" s="2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5.75" customHeight="1">
      <c r="A55" s="4"/>
      <c r="B55" s="20"/>
      <c r="C55" s="20"/>
      <c r="D55" s="20"/>
      <c r="E55" s="20"/>
      <c r="F55" s="20"/>
      <c r="G55" s="2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5.75" customHeight="1">
      <c r="A56" s="4"/>
      <c r="B56" s="20"/>
      <c r="C56" s="20"/>
      <c r="D56" s="20"/>
      <c r="E56" s="20"/>
      <c r="F56" s="20"/>
      <c r="G56" s="2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5.75" customHeight="1">
      <c r="A57" s="4"/>
      <c r="B57" s="20"/>
      <c r="C57" s="20"/>
      <c r="D57" s="20"/>
      <c r="E57" s="20"/>
      <c r="F57" s="20"/>
      <c r="G57" s="2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5.75" customHeight="1">
      <c r="A58" s="4"/>
      <c r="B58" s="20"/>
      <c r="C58" s="20"/>
      <c r="D58" s="20"/>
      <c r="E58" s="20"/>
      <c r="F58" s="20"/>
      <c r="G58" s="2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5.75" customHeight="1">
      <c r="A59" s="4"/>
      <c r="B59" s="20"/>
      <c r="C59" s="20"/>
      <c r="D59" s="20"/>
      <c r="E59" s="20"/>
      <c r="F59" s="20"/>
      <c r="G59" s="2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5.75" customHeight="1">
      <c r="A60" s="4"/>
      <c r="B60" s="20"/>
      <c r="C60" s="20"/>
      <c r="D60" s="20"/>
      <c r="E60" s="20"/>
      <c r="F60" s="20"/>
      <c r="G60" s="2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5.75" customHeight="1">
      <c r="A61" s="4"/>
      <c r="B61" s="20"/>
      <c r="C61" s="20"/>
      <c r="D61" s="20"/>
      <c r="E61" s="20"/>
      <c r="F61" s="20"/>
      <c r="G61" s="2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5.75" customHeight="1">
      <c r="A62" s="4"/>
      <c r="B62" s="20"/>
      <c r="C62" s="20"/>
      <c r="D62" s="20"/>
      <c r="E62" s="20"/>
      <c r="F62" s="20"/>
      <c r="G62" s="2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5.75" customHeight="1">
      <c r="A63" s="4"/>
      <c r="B63" s="20"/>
      <c r="C63" s="20"/>
      <c r="D63" s="20"/>
      <c r="E63" s="20"/>
      <c r="F63" s="20"/>
      <c r="G63" s="2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5.75" customHeight="1">
      <c r="A64" s="4"/>
      <c r="B64" s="20"/>
      <c r="C64" s="20"/>
      <c r="D64" s="20"/>
      <c r="E64" s="20"/>
      <c r="F64" s="20"/>
      <c r="G64" s="2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5.75" customHeight="1">
      <c r="A65" s="4"/>
      <c r="B65" s="20"/>
      <c r="C65" s="20"/>
      <c r="D65" s="20"/>
      <c r="E65" s="20"/>
      <c r="F65" s="20"/>
      <c r="G65" s="2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5.75" customHeight="1">
      <c r="A66" s="4"/>
      <c r="B66" s="20"/>
      <c r="C66" s="20"/>
      <c r="D66" s="20"/>
      <c r="E66" s="20"/>
      <c r="F66" s="20"/>
      <c r="G66" s="2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5.75" customHeight="1">
      <c r="A67" s="4"/>
      <c r="B67" s="20"/>
      <c r="C67" s="20"/>
      <c r="D67" s="20"/>
      <c r="E67" s="20"/>
      <c r="F67" s="20"/>
      <c r="G67" s="2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5.75" customHeight="1">
      <c r="A68" s="4"/>
      <c r="B68" s="20"/>
      <c r="C68" s="20"/>
      <c r="D68" s="20"/>
      <c r="E68" s="20"/>
      <c r="F68" s="20"/>
      <c r="G68" s="2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5.75" customHeight="1">
      <c r="A69" s="4"/>
      <c r="B69" s="20"/>
      <c r="C69" s="20"/>
      <c r="D69" s="20"/>
      <c r="E69" s="20"/>
      <c r="F69" s="20"/>
      <c r="G69" s="2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5.75" customHeight="1">
      <c r="A70" s="4"/>
      <c r="B70" s="20"/>
      <c r="C70" s="20"/>
      <c r="D70" s="20"/>
      <c r="E70" s="20"/>
      <c r="F70" s="20"/>
      <c r="G70" s="2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5.75" customHeight="1">
      <c r="A71" s="4"/>
      <c r="B71" s="20"/>
      <c r="C71" s="20"/>
      <c r="D71" s="20"/>
      <c r="E71" s="20"/>
      <c r="F71" s="20"/>
      <c r="G71" s="2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5.75" customHeight="1">
      <c r="A72" s="4"/>
      <c r="B72" s="20"/>
      <c r="C72" s="20"/>
      <c r="D72" s="20"/>
      <c r="E72" s="20"/>
      <c r="F72" s="20"/>
      <c r="G72" s="2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5.75" customHeight="1">
      <c r="A73" s="4"/>
      <c r="B73" s="20"/>
      <c r="C73" s="20"/>
      <c r="D73" s="20"/>
      <c r="E73" s="20"/>
      <c r="F73" s="20"/>
      <c r="G73" s="2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5.75" customHeight="1">
      <c r="A74" s="4"/>
      <c r="B74" s="20"/>
      <c r="C74" s="20"/>
      <c r="D74" s="20"/>
      <c r="E74" s="20"/>
      <c r="F74" s="20"/>
      <c r="G74" s="2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5.75" customHeight="1">
      <c r="A75" s="4"/>
      <c r="B75" s="20"/>
      <c r="C75" s="20"/>
      <c r="D75" s="20"/>
      <c r="E75" s="20"/>
      <c r="F75" s="20"/>
      <c r="G75" s="2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5.75" customHeight="1">
      <c r="A76" s="4"/>
      <c r="B76" s="20"/>
      <c r="C76" s="20"/>
      <c r="D76" s="20"/>
      <c r="E76" s="20"/>
      <c r="F76" s="20"/>
      <c r="G76" s="2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5.75" customHeight="1">
      <c r="A77" s="4"/>
      <c r="B77" s="20"/>
      <c r="C77" s="20"/>
      <c r="D77" s="20"/>
      <c r="E77" s="20"/>
      <c r="F77" s="20"/>
      <c r="G77" s="2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5.75" customHeight="1">
      <c r="A78" s="4"/>
      <c r="B78" s="20"/>
      <c r="C78" s="20"/>
      <c r="D78" s="20"/>
      <c r="E78" s="20"/>
      <c r="F78" s="20"/>
      <c r="G78" s="2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5.75" customHeight="1">
      <c r="A79" s="4"/>
      <c r="B79" s="20"/>
      <c r="C79" s="20"/>
      <c r="D79" s="20"/>
      <c r="E79" s="20"/>
      <c r="F79" s="20"/>
      <c r="G79" s="2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5.75" customHeight="1">
      <c r="A80" s="4"/>
      <c r="B80" s="20"/>
      <c r="C80" s="20"/>
      <c r="D80" s="20"/>
      <c r="E80" s="20"/>
      <c r="F80" s="20"/>
      <c r="G80" s="2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5.75" customHeight="1">
      <c r="A81" s="4"/>
      <c r="B81" s="20"/>
      <c r="C81" s="20"/>
      <c r="D81" s="20"/>
      <c r="E81" s="20"/>
      <c r="F81" s="20"/>
      <c r="G81" s="2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5.75" customHeight="1">
      <c r="A82" s="4"/>
      <c r="B82" s="20"/>
      <c r="C82" s="20"/>
      <c r="D82" s="20"/>
      <c r="E82" s="20"/>
      <c r="F82" s="20"/>
      <c r="G82" s="2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5.75" customHeight="1">
      <c r="A83" s="4"/>
      <c r="B83" s="20"/>
      <c r="C83" s="20"/>
      <c r="D83" s="20"/>
      <c r="E83" s="20"/>
      <c r="F83" s="20"/>
      <c r="G83" s="2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5.75" customHeight="1">
      <c r="A84" s="4"/>
      <c r="B84" s="20"/>
      <c r="C84" s="20"/>
      <c r="D84" s="20"/>
      <c r="E84" s="20"/>
      <c r="F84" s="20"/>
      <c r="G84" s="2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5.75" customHeight="1">
      <c r="A85" s="4"/>
      <c r="B85" s="20"/>
      <c r="C85" s="20"/>
      <c r="D85" s="20"/>
      <c r="E85" s="20"/>
      <c r="F85" s="20"/>
      <c r="G85" s="2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5.75" customHeight="1">
      <c r="A86" s="4"/>
      <c r="B86" s="20"/>
      <c r="C86" s="20"/>
      <c r="D86" s="20"/>
      <c r="E86" s="20"/>
      <c r="F86" s="20"/>
      <c r="G86" s="2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5.75" customHeight="1">
      <c r="A87" s="4"/>
      <c r="B87" s="20"/>
      <c r="C87" s="20"/>
      <c r="D87" s="20"/>
      <c r="E87" s="20"/>
      <c r="F87" s="20"/>
      <c r="G87" s="2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5.75" customHeight="1">
      <c r="A88" s="4"/>
      <c r="B88" s="20"/>
      <c r="C88" s="20"/>
      <c r="D88" s="20"/>
      <c r="E88" s="20"/>
      <c r="F88" s="20"/>
      <c r="G88" s="2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5.75" customHeight="1">
      <c r="A89" s="4"/>
      <c r="B89" s="20"/>
      <c r="C89" s="20"/>
      <c r="D89" s="20"/>
      <c r="E89" s="20"/>
      <c r="F89" s="20"/>
      <c r="G89" s="2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5.75" customHeight="1">
      <c r="A90" s="4"/>
      <c r="B90" s="20"/>
      <c r="C90" s="20"/>
      <c r="D90" s="20"/>
      <c r="E90" s="20"/>
      <c r="F90" s="20"/>
      <c r="G90" s="2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5.75" customHeight="1">
      <c r="A91" s="4"/>
      <c r="B91" s="20"/>
      <c r="C91" s="20"/>
      <c r="D91" s="20"/>
      <c r="E91" s="20"/>
      <c r="F91" s="20"/>
      <c r="G91" s="2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5.75" customHeight="1">
      <c r="A92" s="4"/>
      <c r="B92" s="20"/>
      <c r="C92" s="20"/>
      <c r="D92" s="20"/>
      <c r="E92" s="20"/>
      <c r="F92" s="20"/>
      <c r="G92" s="2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5.75" customHeight="1">
      <c r="A93" s="4"/>
      <c r="B93" s="20"/>
      <c r="C93" s="20"/>
      <c r="D93" s="20"/>
      <c r="E93" s="20"/>
      <c r="F93" s="20"/>
      <c r="G93" s="2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5.75" customHeight="1">
      <c r="A94" s="4"/>
      <c r="B94" s="20"/>
      <c r="C94" s="20"/>
      <c r="D94" s="20"/>
      <c r="E94" s="20"/>
      <c r="F94" s="20"/>
      <c r="G94" s="2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5.75" customHeight="1">
      <c r="A95" s="4"/>
      <c r="B95" s="20"/>
      <c r="C95" s="20"/>
      <c r="D95" s="20"/>
      <c r="E95" s="20"/>
      <c r="F95" s="20"/>
      <c r="G95" s="2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5.75" customHeight="1">
      <c r="A96" s="4"/>
      <c r="B96" s="20"/>
      <c r="C96" s="20"/>
      <c r="D96" s="20"/>
      <c r="E96" s="20"/>
      <c r="F96" s="20"/>
      <c r="G96" s="2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5.75" customHeight="1">
      <c r="A97" s="4"/>
      <c r="B97" s="20"/>
      <c r="C97" s="20"/>
      <c r="D97" s="20"/>
      <c r="E97" s="20"/>
      <c r="F97" s="20"/>
      <c r="G97" s="2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5.75" customHeight="1">
      <c r="A98" s="4"/>
      <c r="B98" s="20"/>
      <c r="C98" s="20"/>
      <c r="D98" s="20"/>
      <c r="E98" s="20"/>
      <c r="F98" s="20"/>
      <c r="G98" s="2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5.75" customHeight="1">
      <c r="A99" s="4"/>
      <c r="B99" s="20"/>
      <c r="C99" s="20"/>
      <c r="D99" s="20"/>
      <c r="E99" s="20"/>
      <c r="F99" s="20"/>
      <c r="G99" s="2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5.75" customHeight="1">
      <c r="A100" s="4"/>
      <c r="B100" s="20"/>
      <c r="C100" s="20"/>
      <c r="D100" s="20"/>
      <c r="E100" s="20"/>
      <c r="F100" s="20"/>
      <c r="G100" s="2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5.75" customHeight="1">
      <c r="A101" s="4"/>
      <c r="B101" s="20"/>
      <c r="C101" s="20"/>
      <c r="D101" s="20"/>
      <c r="E101" s="20"/>
      <c r="F101" s="20"/>
      <c r="G101" s="2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5.75" customHeight="1">
      <c r="A102" s="4"/>
      <c r="B102" s="20"/>
      <c r="C102" s="20"/>
      <c r="D102" s="20"/>
      <c r="E102" s="20"/>
      <c r="F102" s="20"/>
      <c r="G102" s="2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5.75" customHeight="1">
      <c r="A103" s="4"/>
      <c r="B103" s="20"/>
      <c r="C103" s="20"/>
      <c r="D103" s="20"/>
      <c r="E103" s="20"/>
      <c r="F103" s="20"/>
      <c r="G103" s="2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5.75" customHeight="1">
      <c r="A104" s="4"/>
      <c r="B104" s="20"/>
      <c r="C104" s="20"/>
      <c r="D104" s="20"/>
      <c r="E104" s="20"/>
      <c r="F104" s="20"/>
      <c r="G104" s="2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5.75" customHeight="1">
      <c r="A105" s="4"/>
      <c r="B105" s="20"/>
      <c r="C105" s="20"/>
      <c r="D105" s="20"/>
      <c r="E105" s="20"/>
      <c r="F105" s="20"/>
      <c r="G105" s="2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5.75" customHeight="1">
      <c r="A106" s="4"/>
      <c r="B106" s="20"/>
      <c r="C106" s="20"/>
      <c r="D106" s="20"/>
      <c r="E106" s="20"/>
      <c r="F106" s="20"/>
      <c r="G106" s="2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5.75" customHeight="1">
      <c r="A107" s="4"/>
      <c r="B107" s="20"/>
      <c r="C107" s="20"/>
      <c r="D107" s="20"/>
      <c r="E107" s="20"/>
      <c r="F107" s="20"/>
      <c r="G107" s="2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5.75" customHeight="1">
      <c r="A108" s="4"/>
      <c r="B108" s="20"/>
      <c r="C108" s="20"/>
      <c r="D108" s="20"/>
      <c r="E108" s="20"/>
      <c r="F108" s="20"/>
      <c r="G108" s="2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5.75" customHeight="1">
      <c r="A109" s="4"/>
      <c r="B109" s="20"/>
      <c r="C109" s="20"/>
      <c r="D109" s="20"/>
      <c r="E109" s="20"/>
      <c r="F109" s="20"/>
      <c r="G109" s="2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5.75" customHeight="1">
      <c r="A110" s="4"/>
      <c r="B110" s="20"/>
      <c r="C110" s="20"/>
      <c r="D110" s="20"/>
      <c r="E110" s="20"/>
      <c r="F110" s="20"/>
      <c r="G110" s="2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5.75" customHeight="1">
      <c r="A111" s="4"/>
      <c r="B111" s="20"/>
      <c r="C111" s="20"/>
      <c r="D111" s="20"/>
      <c r="E111" s="20"/>
      <c r="F111" s="20"/>
      <c r="G111" s="2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5.75" customHeight="1">
      <c r="A112" s="4"/>
      <c r="B112" s="20"/>
      <c r="C112" s="20"/>
      <c r="D112" s="20"/>
      <c r="E112" s="20"/>
      <c r="F112" s="20"/>
      <c r="G112" s="2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5.75" customHeight="1">
      <c r="A113" s="4"/>
      <c r="B113" s="20"/>
      <c r="C113" s="20"/>
      <c r="D113" s="20"/>
      <c r="E113" s="20"/>
      <c r="F113" s="20"/>
      <c r="G113" s="2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5.75" customHeight="1">
      <c r="A114" s="4"/>
      <c r="B114" s="20"/>
      <c r="C114" s="20"/>
      <c r="D114" s="20"/>
      <c r="E114" s="20"/>
      <c r="F114" s="20"/>
      <c r="G114" s="2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5.75" customHeight="1">
      <c r="A115" s="4"/>
      <c r="B115" s="20"/>
      <c r="C115" s="20"/>
      <c r="D115" s="20"/>
      <c r="E115" s="20"/>
      <c r="F115" s="20"/>
      <c r="G115" s="2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5.75" customHeight="1">
      <c r="A116" s="4"/>
      <c r="B116" s="20"/>
      <c r="C116" s="20"/>
      <c r="D116" s="20"/>
      <c r="E116" s="20"/>
      <c r="F116" s="20"/>
      <c r="G116" s="2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5.75" customHeight="1">
      <c r="A117" s="4"/>
      <c r="B117" s="20"/>
      <c r="C117" s="20"/>
      <c r="D117" s="20"/>
      <c r="E117" s="20"/>
      <c r="F117" s="20"/>
      <c r="G117" s="2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5.75" customHeight="1">
      <c r="A118" s="4"/>
      <c r="B118" s="20"/>
      <c r="C118" s="20"/>
      <c r="D118" s="20"/>
      <c r="E118" s="20"/>
      <c r="F118" s="20"/>
      <c r="G118" s="2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5.75" customHeight="1">
      <c r="A119" s="4"/>
      <c r="B119" s="20"/>
      <c r="C119" s="20"/>
      <c r="D119" s="20"/>
      <c r="E119" s="20"/>
      <c r="F119" s="20"/>
      <c r="G119" s="2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5.75" customHeight="1">
      <c r="A120" s="4"/>
      <c r="B120" s="20"/>
      <c r="C120" s="20"/>
      <c r="D120" s="20"/>
      <c r="E120" s="20"/>
      <c r="F120" s="20"/>
      <c r="G120" s="2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5.75" customHeight="1">
      <c r="A121" s="4"/>
      <c r="B121" s="20"/>
      <c r="C121" s="20"/>
      <c r="D121" s="20"/>
      <c r="E121" s="20"/>
      <c r="F121" s="20"/>
      <c r="G121" s="2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5.75" customHeight="1">
      <c r="A122" s="4"/>
      <c r="B122" s="20"/>
      <c r="C122" s="20"/>
      <c r="D122" s="20"/>
      <c r="E122" s="20"/>
      <c r="F122" s="20"/>
      <c r="G122" s="2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5.75" customHeight="1">
      <c r="A123" s="4"/>
      <c r="B123" s="20"/>
      <c r="C123" s="20"/>
      <c r="D123" s="20"/>
      <c r="E123" s="20"/>
      <c r="F123" s="20"/>
      <c r="G123" s="2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5.75" customHeight="1">
      <c r="A124" s="4"/>
      <c r="B124" s="20"/>
      <c r="C124" s="20"/>
      <c r="D124" s="20"/>
      <c r="E124" s="20"/>
      <c r="F124" s="20"/>
      <c r="G124" s="2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5.75" customHeight="1">
      <c r="A125" s="4"/>
      <c r="B125" s="20"/>
      <c r="C125" s="20"/>
      <c r="D125" s="20"/>
      <c r="E125" s="20"/>
      <c r="F125" s="20"/>
      <c r="G125" s="2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5.75" customHeight="1">
      <c r="A126" s="4"/>
      <c r="B126" s="20"/>
      <c r="C126" s="20"/>
      <c r="D126" s="20"/>
      <c r="E126" s="20"/>
      <c r="F126" s="20"/>
      <c r="G126" s="2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5.75" customHeight="1">
      <c r="A127" s="4"/>
      <c r="B127" s="20"/>
      <c r="C127" s="20"/>
      <c r="D127" s="20"/>
      <c r="E127" s="20"/>
      <c r="F127" s="20"/>
      <c r="G127" s="2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5.75" customHeight="1">
      <c r="A128" s="4"/>
      <c r="B128" s="20"/>
      <c r="C128" s="20"/>
      <c r="D128" s="20"/>
      <c r="E128" s="20"/>
      <c r="F128" s="20"/>
      <c r="G128" s="2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5.75" customHeight="1">
      <c r="A129" s="4"/>
      <c r="B129" s="20"/>
      <c r="C129" s="20"/>
      <c r="D129" s="20"/>
      <c r="E129" s="20"/>
      <c r="F129" s="20"/>
      <c r="G129" s="2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5.75" customHeight="1">
      <c r="A130" s="4"/>
      <c r="B130" s="20"/>
      <c r="C130" s="20"/>
      <c r="D130" s="20"/>
      <c r="E130" s="20"/>
      <c r="F130" s="20"/>
      <c r="G130" s="2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5.75" customHeight="1">
      <c r="A131" s="4"/>
      <c r="B131" s="20"/>
      <c r="C131" s="20"/>
      <c r="D131" s="20"/>
      <c r="E131" s="20"/>
      <c r="F131" s="20"/>
      <c r="G131" s="2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5.75" customHeight="1">
      <c r="A132" s="4"/>
      <c r="B132" s="20"/>
      <c r="C132" s="20"/>
      <c r="D132" s="20"/>
      <c r="E132" s="20"/>
      <c r="F132" s="20"/>
      <c r="G132" s="2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5.75" customHeight="1">
      <c r="A133" s="4"/>
      <c r="B133" s="20"/>
      <c r="C133" s="20"/>
      <c r="D133" s="20"/>
      <c r="E133" s="20"/>
      <c r="F133" s="20"/>
      <c r="G133" s="2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5.75" customHeight="1">
      <c r="A134" s="4"/>
      <c r="B134" s="20"/>
      <c r="C134" s="20"/>
      <c r="D134" s="20"/>
      <c r="E134" s="20"/>
      <c r="F134" s="20"/>
      <c r="G134" s="2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5.75" customHeight="1">
      <c r="A135" s="4"/>
      <c r="B135" s="20"/>
      <c r="C135" s="20"/>
      <c r="D135" s="20"/>
      <c r="E135" s="20"/>
      <c r="F135" s="20"/>
      <c r="G135" s="2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5.75" customHeight="1">
      <c r="A136" s="4"/>
      <c r="B136" s="20"/>
      <c r="C136" s="20"/>
      <c r="D136" s="20"/>
      <c r="E136" s="20"/>
      <c r="F136" s="20"/>
      <c r="G136" s="2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5.75" customHeight="1">
      <c r="A137" s="4"/>
      <c r="B137" s="20"/>
      <c r="C137" s="20"/>
      <c r="D137" s="20"/>
      <c r="E137" s="20"/>
      <c r="F137" s="20"/>
      <c r="G137" s="2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5.75" customHeight="1">
      <c r="A138" s="4"/>
      <c r="B138" s="20"/>
      <c r="C138" s="20"/>
      <c r="D138" s="20"/>
      <c r="E138" s="20"/>
      <c r="F138" s="20"/>
      <c r="G138" s="2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5.75" customHeight="1">
      <c r="A139" s="4"/>
      <c r="B139" s="20"/>
      <c r="C139" s="20"/>
      <c r="D139" s="20"/>
      <c r="E139" s="20"/>
      <c r="F139" s="20"/>
      <c r="G139" s="2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5.75" customHeight="1">
      <c r="A140" s="4"/>
      <c r="B140" s="20"/>
      <c r="C140" s="20"/>
      <c r="D140" s="20"/>
      <c r="E140" s="20"/>
      <c r="F140" s="20"/>
      <c r="G140" s="2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5.75" customHeight="1">
      <c r="A141" s="4"/>
      <c r="B141" s="20"/>
      <c r="C141" s="20"/>
      <c r="D141" s="20"/>
      <c r="E141" s="20"/>
      <c r="F141" s="20"/>
      <c r="G141" s="2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5.75" customHeight="1">
      <c r="A142" s="4"/>
      <c r="B142" s="20"/>
      <c r="C142" s="20"/>
      <c r="D142" s="20"/>
      <c r="E142" s="20"/>
      <c r="F142" s="20"/>
      <c r="G142" s="2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5.75" customHeight="1">
      <c r="A143" s="4"/>
      <c r="B143" s="20"/>
      <c r="C143" s="20"/>
      <c r="D143" s="20"/>
      <c r="E143" s="20"/>
      <c r="F143" s="20"/>
      <c r="G143" s="2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5.75" customHeight="1">
      <c r="A144" s="4"/>
      <c r="B144" s="20"/>
      <c r="C144" s="20"/>
      <c r="D144" s="20"/>
      <c r="E144" s="20"/>
      <c r="F144" s="20"/>
      <c r="G144" s="2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5.75" customHeight="1">
      <c r="A145" s="4"/>
      <c r="B145" s="20"/>
      <c r="C145" s="20"/>
      <c r="D145" s="20"/>
      <c r="E145" s="20"/>
      <c r="F145" s="20"/>
      <c r="G145" s="2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5.75" customHeight="1">
      <c r="A146" s="4"/>
      <c r="B146" s="20"/>
      <c r="C146" s="20"/>
      <c r="D146" s="20"/>
      <c r="E146" s="20"/>
      <c r="F146" s="20"/>
      <c r="G146" s="2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5.75" customHeight="1">
      <c r="A147" s="4"/>
      <c r="B147" s="20"/>
      <c r="C147" s="20"/>
      <c r="D147" s="20"/>
      <c r="E147" s="20"/>
      <c r="F147" s="20"/>
      <c r="G147" s="2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5.75" customHeight="1">
      <c r="A148" s="4"/>
      <c r="B148" s="20"/>
      <c r="C148" s="20"/>
      <c r="D148" s="20"/>
      <c r="E148" s="20"/>
      <c r="F148" s="20"/>
      <c r="G148" s="2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5.75" customHeight="1">
      <c r="A149" s="4"/>
      <c r="B149" s="20"/>
      <c r="C149" s="20"/>
      <c r="D149" s="20"/>
      <c r="E149" s="20"/>
      <c r="F149" s="20"/>
      <c r="G149" s="2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5.75" customHeight="1">
      <c r="A150" s="4"/>
      <c r="B150" s="20"/>
      <c r="C150" s="20"/>
      <c r="D150" s="20"/>
      <c r="E150" s="20"/>
      <c r="F150" s="20"/>
      <c r="G150" s="2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5.75" customHeight="1">
      <c r="A151" s="4"/>
      <c r="B151" s="20"/>
      <c r="C151" s="20"/>
      <c r="D151" s="20"/>
      <c r="E151" s="20"/>
      <c r="F151" s="20"/>
      <c r="G151" s="2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5.75" customHeight="1">
      <c r="A152" s="4"/>
      <c r="B152" s="20"/>
      <c r="C152" s="20"/>
      <c r="D152" s="20"/>
      <c r="E152" s="20"/>
      <c r="F152" s="20"/>
      <c r="G152" s="2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5.75" customHeight="1">
      <c r="A153" s="4"/>
      <c r="B153" s="20"/>
      <c r="C153" s="20"/>
      <c r="D153" s="20"/>
      <c r="E153" s="20"/>
      <c r="F153" s="20"/>
      <c r="G153" s="2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5.75" customHeight="1">
      <c r="A154" s="4"/>
      <c r="B154" s="20"/>
      <c r="C154" s="20"/>
      <c r="D154" s="20"/>
      <c r="E154" s="20"/>
      <c r="F154" s="20"/>
      <c r="G154" s="2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5.75" customHeight="1">
      <c r="A155" s="4"/>
      <c r="B155" s="20"/>
      <c r="C155" s="20"/>
      <c r="D155" s="20"/>
      <c r="E155" s="20"/>
      <c r="F155" s="20"/>
      <c r="G155" s="2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5.75" customHeight="1">
      <c r="A156" s="4"/>
      <c r="B156" s="20"/>
      <c r="C156" s="20"/>
      <c r="D156" s="20"/>
      <c r="E156" s="20"/>
      <c r="F156" s="20"/>
      <c r="G156" s="2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5.75" customHeight="1">
      <c r="A157" s="4"/>
      <c r="B157" s="20"/>
      <c r="C157" s="20"/>
      <c r="D157" s="20"/>
      <c r="E157" s="20"/>
      <c r="F157" s="20"/>
      <c r="G157" s="2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5.75" customHeight="1">
      <c r="A158" s="4"/>
      <c r="B158" s="20"/>
      <c r="C158" s="20"/>
      <c r="D158" s="20"/>
      <c r="E158" s="20"/>
      <c r="F158" s="20"/>
      <c r="G158" s="2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5.75" customHeight="1">
      <c r="A159" s="4"/>
      <c r="B159" s="20"/>
      <c r="C159" s="20"/>
      <c r="D159" s="20"/>
      <c r="E159" s="20"/>
      <c r="F159" s="20"/>
      <c r="G159" s="2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5.75" customHeight="1">
      <c r="A160" s="4"/>
      <c r="B160" s="20"/>
      <c r="C160" s="20"/>
      <c r="D160" s="20"/>
      <c r="E160" s="20"/>
      <c r="F160" s="20"/>
      <c r="G160" s="2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5.75" customHeight="1">
      <c r="A161" s="4"/>
      <c r="B161" s="20"/>
      <c r="C161" s="20"/>
      <c r="D161" s="20"/>
      <c r="E161" s="20"/>
      <c r="F161" s="20"/>
      <c r="G161" s="2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5.75" customHeight="1">
      <c r="A162" s="4"/>
      <c r="B162" s="20"/>
      <c r="C162" s="20"/>
      <c r="D162" s="20"/>
      <c r="E162" s="20"/>
      <c r="F162" s="20"/>
      <c r="G162" s="2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5.75" customHeight="1">
      <c r="A163" s="4"/>
      <c r="B163" s="20"/>
      <c r="C163" s="20"/>
      <c r="D163" s="20"/>
      <c r="E163" s="20"/>
      <c r="F163" s="20"/>
      <c r="G163" s="2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5.75" customHeight="1">
      <c r="A164" s="4"/>
      <c r="B164" s="20"/>
      <c r="C164" s="20"/>
      <c r="D164" s="20"/>
      <c r="E164" s="20"/>
      <c r="F164" s="20"/>
      <c r="G164" s="2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5.75" customHeight="1">
      <c r="A165" s="4"/>
      <c r="B165" s="20"/>
      <c r="C165" s="20"/>
      <c r="D165" s="20"/>
      <c r="E165" s="20"/>
      <c r="F165" s="20"/>
      <c r="G165" s="2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5.75" customHeight="1">
      <c r="A166" s="4"/>
      <c r="B166" s="20"/>
      <c r="C166" s="20"/>
      <c r="D166" s="20"/>
      <c r="E166" s="20"/>
      <c r="F166" s="20"/>
      <c r="G166" s="2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5.75" customHeight="1">
      <c r="A167" s="4"/>
      <c r="B167" s="20"/>
      <c r="C167" s="20"/>
      <c r="D167" s="20"/>
      <c r="E167" s="20"/>
      <c r="F167" s="20"/>
      <c r="G167" s="2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5.75" customHeight="1">
      <c r="A168" s="4"/>
      <c r="B168" s="20"/>
      <c r="C168" s="20"/>
      <c r="D168" s="20"/>
      <c r="E168" s="20"/>
      <c r="F168" s="20"/>
      <c r="G168" s="2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5.75" customHeight="1">
      <c r="A169" s="4"/>
      <c r="B169" s="20"/>
      <c r="C169" s="20"/>
      <c r="D169" s="20"/>
      <c r="E169" s="20"/>
      <c r="F169" s="20"/>
      <c r="G169" s="2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5.75" customHeight="1">
      <c r="A170" s="4"/>
      <c r="B170" s="20"/>
      <c r="C170" s="20"/>
      <c r="D170" s="20"/>
      <c r="E170" s="20"/>
      <c r="F170" s="20"/>
      <c r="G170" s="2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5.75" customHeight="1">
      <c r="A171" s="4"/>
      <c r="B171" s="20"/>
      <c r="C171" s="20"/>
      <c r="D171" s="20"/>
      <c r="E171" s="20"/>
      <c r="F171" s="20"/>
      <c r="G171" s="2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5.75" customHeight="1">
      <c r="A172" s="4"/>
      <c r="B172" s="20"/>
      <c r="C172" s="20"/>
      <c r="D172" s="20"/>
      <c r="E172" s="20"/>
      <c r="F172" s="20"/>
      <c r="G172" s="2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5.75" customHeight="1">
      <c r="A173" s="4"/>
      <c r="B173" s="20"/>
      <c r="C173" s="20"/>
      <c r="D173" s="20"/>
      <c r="E173" s="20"/>
      <c r="F173" s="20"/>
      <c r="G173" s="2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5.75" customHeight="1">
      <c r="A174" s="4"/>
      <c r="B174" s="20"/>
      <c r="C174" s="20"/>
      <c r="D174" s="20"/>
      <c r="E174" s="20"/>
      <c r="F174" s="20"/>
      <c r="G174" s="2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5.75" customHeight="1">
      <c r="A175" s="4"/>
      <c r="B175" s="20"/>
      <c r="C175" s="20"/>
      <c r="D175" s="20"/>
      <c r="E175" s="20"/>
      <c r="F175" s="20"/>
      <c r="G175" s="2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5.75" customHeight="1">
      <c r="A176" s="4"/>
      <c r="B176" s="20"/>
      <c r="C176" s="20"/>
      <c r="D176" s="20"/>
      <c r="E176" s="20"/>
      <c r="F176" s="20"/>
      <c r="G176" s="2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5.75" customHeight="1">
      <c r="A177" s="4"/>
      <c r="B177" s="20"/>
      <c r="C177" s="20"/>
      <c r="D177" s="20"/>
      <c r="E177" s="20"/>
      <c r="F177" s="20"/>
      <c r="G177" s="2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5.75" customHeight="1">
      <c r="A178" s="4"/>
      <c r="B178" s="20"/>
      <c r="C178" s="20"/>
      <c r="D178" s="20"/>
      <c r="E178" s="20"/>
      <c r="F178" s="20"/>
      <c r="G178" s="2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5.75" customHeight="1">
      <c r="A179" s="4"/>
      <c r="B179" s="20"/>
      <c r="C179" s="20"/>
      <c r="D179" s="20"/>
      <c r="E179" s="20"/>
      <c r="F179" s="20"/>
      <c r="G179" s="2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5.75" customHeight="1">
      <c r="A180" s="4"/>
      <c r="B180" s="20"/>
      <c r="C180" s="20"/>
      <c r="D180" s="20"/>
      <c r="E180" s="20"/>
      <c r="F180" s="20"/>
      <c r="G180" s="2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5.75" customHeight="1">
      <c r="A181" s="4"/>
      <c r="B181" s="20"/>
      <c r="C181" s="20"/>
      <c r="D181" s="20"/>
      <c r="E181" s="20"/>
      <c r="F181" s="20"/>
      <c r="G181" s="2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5.75" customHeight="1">
      <c r="A182" s="4"/>
      <c r="B182" s="20"/>
      <c r="C182" s="20"/>
      <c r="D182" s="20"/>
      <c r="E182" s="20"/>
      <c r="F182" s="20"/>
      <c r="G182" s="2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5.75" customHeight="1">
      <c r="A183" s="4"/>
      <c r="B183" s="20"/>
      <c r="C183" s="20"/>
      <c r="D183" s="20"/>
      <c r="E183" s="20"/>
      <c r="F183" s="20"/>
      <c r="G183" s="2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5.75" customHeight="1">
      <c r="A184" s="4"/>
      <c r="B184" s="20"/>
      <c r="C184" s="20"/>
      <c r="D184" s="20"/>
      <c r="E184" s="20"/>
      <c r="F184" s="20"/>
      <c r="G184" s="2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5.75" customHeight="1">
      <c r="A185" s="4"/>
      <c r="B185" s="20"/>
      <c r="C185" s="20"/>
      <c r="D185" s="20"/>
      <c r="E185" s="20"/>
      <c r="F185" s="20"/>
      <c r="G185" s="2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5.75" customHeight="1">
      <c r="A186" s="4"/>
      <c r="B186" s="20"/>
      <c r="C186" s="20"/>
      <c r="D186" s="20"/>
      <c r="E186" s="20"/>
      <c r="F186" s="20"/>
      <c r="G186" s="2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5.75" customHeight="1">
      <c r="A187" s="4"/>
      <c r="B187" s="20"/>
      <c r="C187" s="20"/>
      <c r="D187" s="20"/>
      <c r="E187" s="20"/>
      <c r="F187" s="20"/>
      <c r="G187" s="2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5.75" customHeight="1">
      <c r="A188" s="4"/>
      <c r="B188" s="20"/>
      <c r="C188" s="20"/>
      <c r="D188" s="20"/>
      <c r="E188" s="20"/>
      <c r="F188" s="20"/>
      <c r="G188" s="2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5.75" customHeight="1">
      <c r="A189" s="4"/>
      <c r="B189" s="20"/>
      <c r="C189" s="20"/>
      <c r="D189" s="20"/>
      <c r="E189" s="20"/>
      <c r="F189" s="20"/>
      <c r="G189" s="2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5.75" customHeight="1">
      <c r="A190" s="4"/>
      <c r="B190" s="20"/>
      <c r="C190" s="20"/>
      <c r="D190" s="20"/>
      <c r="E190" s="20"/>
      <c r="F190" s="20"/>
      <c r="G190" s="2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5.75" customHeight="1">
      <c r="A191" s="4"/>
      <c r="B191" s="20"/>
      <c r="C191" s="20"/>
      <c r="D191" s="20"/>
      <c r="E191" s="20"/>
      <c r="F191" s="20"/>
      <c r="G191" s="2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5.75" customHeight="1">
      <c r="A192" s="4"/>
      <c r="B192" s="20"/>
      <c r="C192" s="20"/>
      <c r="D192" s="20"/>
      <c r="E192" s="20"/>
      <c r="F192" s="20"/>
      <c r="G192" s="2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5.75" customHeight="1">
      <c r="A193" s="4"/>
      <c r="B193" s="20"/>
      <c r="C193" s="20"/>
      <c r="D193" s="20"/>
      <c r="E193" s="20"/>
      <c r="F193" s="20"/>
      <c r="G193" s="2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5.75" customHeight="1">
      <c r="A194" s="4"/>
      <c r="B194" s="20"/>
      <c r="C194" s="20"/>
      <c r="D194" s="20"/>
      <c r="E194" s="20"/>
      <c r="F194" s="20"/>
      <c r="G194" s="2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5.75" customHeight="1">
      <c r="A195" s="4"/>
      <c r="B195" s="20"/>
      <c r="C195" s="20"/>
      <c r="D195" s="20"/>
      <c r="E195" s="20"/>
      <c r="F195" s="20"/>
      <c r="G195" s="2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5.75" customHeight="1">
      <c r="A196" s="4"/>
      <c r="B196" s="20"/>
      <c r="C196" s="20"/>
      <c r="D196" s="20"/>
      <c r="E196" s="20"/>
      <c r="F196" s="20"/>
      <c r="G196" s="2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5.75" customHeight="1">
      <c r="A197" s="4"/>
      <c r="B197" s="20"/>
      <c r="C197" s="20"/>
      <c r="D197" s="20"/>
      <c r="E197" s="20"/>
      <c r="F197" s="20"/>
      <c r="G197" s="2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5.75" customHeight="1">
      <c r="A198" s="4"/>
      <c r="B198" s="20"/>
      <c r="C198" s="20"/>
      <c r="D198" s="20"/>
      <c r="E198" s="20"/>
      <c r="F198" s="20"/>
      <c r="G198" s="2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5.75" customHeight="1">
      <c r="A199" s="4"/>
      <c r="B199" s="20"/>
      <c r="C199" s="20"/>
      <c r="D199" s="20"/>
      <c r="E199" s="20"/>
      <c r="F199" s="20"/>
      <c r="G199" s="2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5.75" customHeight="1">
      <c r="A200" s="4"/>
      <c r="B200" s="20"/>
      <c r="C200" s="20"/>
      <c r="D200" s="20"/>
      <c r="E200" s="20"/>
      <c r="F200" s="20"/>
      <c r="G200" s="2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5.75" customHeight="1">
      <c r="A201" s="4"/>
      <c r="B201" s="20"/>
      <c r="C201" s="20"/>
      <c r="D201" s="20"/>
      <c r="E201" s="20"/>
      <c r="F201" s="20"/>
      <c r="G201" s="2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5.75" customHeight="1">
      <c r="A202" s="4"/>
      <c r="B202" s="20"/>
      <c r="C202" s="20"/>
      <c r="D202" s="20"/>
      <c r="E202" s="20"/>
      <c r="F202" s="20"/>
      <c r="G202" s="2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5.75" customHeight="1">
      <c r="A203" s="4"/>
      <c r="B203" s="20"/>
      <c r="C203" s="20"/>
      <c r="D203" s="20"/>
      <c r="E203" s="20"/>
      <c r="F203" s="20"/>
      <c r="G203" s="2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5.75" customHeight="1">
      <c r="A204" s="4"/>
      <c r="B204" s="20"/>
      <c r="C204" s="20"/>
      <c r="D204" s="20"/>
      <c r="E204" s="20"/>
      <c r="F204" s="20"/>
      <c r="G204" s="2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5.75" customHeight="1">
      <c r="A205" s="4"/>
      <c r="B205" s="20"/>
      <c r="C205" s="20"/>
      <c r="D205" s="20"/>
      <c r="E205" s="20"/>
      <c r="F205" s="20"/>
      <c r="G205" s="2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5.75" customHeight="1">
      <c r="A206" s="4"/>
      <c r="B206" s="20"/>
      <c r="C206" s="20"/>
      <c r="D206" s="20"/>
      <c r="E206" s="20"/>
      <c r="F206" s="20"/>
      <c r="G206" s="2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5.75" customHeight="1">
      <c r="A207" s="4"/>
      <c r="B207" s="20"/>
      <c r="C207" s="20"/>
      <c r="D207" s="20"/>
      <c r="E207" s="20"/>
      <c r="F207" s="20"/>
      <c r="G207" s="2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5.75" customHeight="1">
      <c r="A208" s="4"/>
      <c r="B208" s="20"/>
      <c r="C208" s="20"/>
      <c r="D208" s="20"/>
      <c r="E208" s="20"/>
      <c r="F208" s="20"/>
      <c r="G208" s="2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5.75" customHeight="1">
      <c r="A209" s="4"/>
      <c r="B209" s="20"/>
      <c r="C209" s="20"/>
      <c r="D209" s="20"/>
      <c r="E209" s="20"/>
      <c r="F209" s="20"/>
      <c r="G209" s="2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5.75" customHeight="1">
      <c r="A210" s="4"/>
      <c r="B210" s="20"/>
      <c r="C210" s="20"/>
      <c r="D210" s="20"/>
      <c r="E210" s="20"/>
      <c r="F210" s="20"/>
      <c r="G210" s="2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5.75" customHeight="1">
      <c r="A211" s="4"/>
      <c r="B211" s="20"/>
      <c r="C211" s="20"/>
      <c r="D211" s="20"/>
      <c r="E211" s="20"/>
      <c r="F211" s="20"/>
      <c r="G211" s="2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5.75" customHeight="1">
      <c r="A212" s="4"/>
      <c r="B212" s="20"/>
      <c r="C212" s="20"/>
      <c r="D212" s="20"/>
      <c r="E212" s="20"/>
      <c r="F212" s="20"/>
      <c r="G212" s="2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5.75" customHeight="1">
      <c r="A213" s="4"/>
      <c r="B213" s="20"/>
      <c r="C213" s="20"/>
      <c r="D213" s="20"/>
      <c r="E213" s="20"/>
      <c r="F213" s="20"/>
      <c r="G213" s="2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5.75" customHeight="1">
      <c r="A214" s="4"/>
      <c r="B214" s="20"/>
      <c r="C214" s="20"/>
      <c r="D214" s="20"/>
      <c r="E214" s="20"/>
      <c r="F214" s="20"/>
      <c r="G214" s="2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5.75" customHeight="1">
      <c r="A215" s="4"/>
      <c r="B215" s="20"/>
      <c r="C215" s="20"/>
      <c r="D215" s="20"/>
      <c r="E215" s="20"/>
      <c r="F215" s="20"/>
      <c r="G215" s="2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5.75" customHeight="1">
      <c r="A216" s="4"/>
      <c r="B216" s="20"/>
      <c r="C216" s="20"/>
      <c r="D216" s="20"/>
      <c r="E216" s="20"/>
      <c r="F216" s="20"/>
      <c r="G216" s="2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5.75" customHeight="1">
      <c r="A217" s="4"/>
      <c r="B217" s="20"/>
      <c r="C217" s="20"/>
      <c r="D217" s="20"/>
      <c r="E217" s="20"/>
      <c r="F217" s="20"/>
      <c r="G217" s="2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5.75" customHeight="1">
      <c r="A218" s="4"/>
      <c r="B218" s="20"/>
      <c r="C218" s="20"/>
      <c r="D218" s="20"/>
      <c r="E218" s="20"/>
      <c r="F218" s="20"/>
      <c r="G218" s="2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5.75" customHeight="1">
      <c r="A219" s="4"/>
      <c r="B219" s="20"/>
      <c r="C219" s="20"/>
      <c r="D219" s="20"/>
      <c r="E219" s="20"/>
      <c r="F219" s="20"/>
      <c r="G219" s="2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5.75" customHeight="1">
      <c r="A220" s="4"/>
      <c r="B220" s="20"/>
      <c r="C220" s="20"/>
      <c r="D220" s="20"/>
      <c r="E220" s="20"/>
      <c r="F220" s="20"/>
      <c r="G220" s="2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15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15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15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15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15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15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15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15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15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15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15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15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15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15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15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15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15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15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15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15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15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15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15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15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15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15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15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15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15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15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15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15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15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15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15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15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15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15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15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15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15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15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15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15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15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15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15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15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15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15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15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15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15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15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15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15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15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15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15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15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15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15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15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15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15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15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15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15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15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15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15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15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15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15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15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15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15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15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15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15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15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15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15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15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15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15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15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15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15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15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15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15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15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15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15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15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15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15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15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15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15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15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15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15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15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15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15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15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15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15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15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15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15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15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15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15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15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15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15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15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15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15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15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15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15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15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15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15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15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15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15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15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15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15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15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15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15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15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15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15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15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15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15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15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15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15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15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15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15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15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15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15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15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15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15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15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15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15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15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15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15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15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15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15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15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15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15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15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15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15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15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15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15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15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15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15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15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15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15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15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15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15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15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15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15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15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15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15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15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15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15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15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15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15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15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15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15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15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15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15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15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15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15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15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15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15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15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15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15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15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15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15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15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15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15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15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15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15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15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15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15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15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15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15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15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15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15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15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15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15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15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15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15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15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15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15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15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15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15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15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15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15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15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15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15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15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15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15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15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15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15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15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15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15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15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15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15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15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15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15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15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15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15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15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15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15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15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15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15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15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15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15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15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15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15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15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15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15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15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15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15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15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15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15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15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15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15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15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15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15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15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15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15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15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15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15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15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15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15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15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15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15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15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15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15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15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15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15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15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15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15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15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15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15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15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15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15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15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15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15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15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15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15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15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15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15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15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15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15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15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15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15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15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15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15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15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15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15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15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15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15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15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15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15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15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15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15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15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15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15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15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15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15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15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15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15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15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15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15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15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15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15.7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15.7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15.7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15.7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15.7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15.7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15.7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15.7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15.7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15.7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15.7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15.7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15.7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15.7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15.7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15.7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15.7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15.7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15.7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15.7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15.7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15.7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ht="15.7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15.7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34.0"/>
    <col customWidth="1" min="2" max="3" width="16.0"/>
    <col customWidth="1" min="4" max="26" width="8.71"/>
  </cols>
  <sheetData>
    <row r="1" ht="17.25" customHeight="1">
      <c r="A1" s="1" t="s">
        <v>111</v>
      </c>
      <c r="B1" s="2"/>
      <c r="C1" s="3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3.0" customHeight="1">
      <c r="A2" s="5" t="s">
        <v>112</v>
      </c>
      <c r="B2" s="2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7.25" customHeight="1">
      <c r="A3" s="6"/>
      <c r="B3" s="7"/>
      <c r="C3" s="6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7.25" customHeight="1">
      <c r="A4" s="3" t="s">
        <v>113</v>
      </c>
      <c r="B4" s="2" t="s">
        <v>27</v>
      </c>
      <c r="C4" s="3" t="s">
        <v>114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7.25" customHeight="1">
      <c r="A5" s="3" t="s">
        <v>115</v>
      </c>
      <c r="B5" s="17">
        <v>32.24</v>
      </c>
      <c r="C5" s="3" t="s">
        <v>116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7.25" customHeight="1">
      <c r="A6" s="3" t="s">
        <v>117</v>
      </c>
      <c r="B6" s="17">
        <v>684.74</v>
      </c>
      <c r="C6" s="3" t="s">
        <v>118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7.25" customHeight="1">
      <c r="A7" s="3" t="s">
        <v>119</v>
      </c>
      <c r="B7" s="17">
        <f>B5*B6</f>
        <v>22076.0176</v>
      </c>
      <c r="C7" s="3" t="s">
        <v>120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7.25" customHeight="1">
      <c r="A8" s="3" t="s">
        <v>51</v>
      </c>
      <c r="B8" s="17">
        <f>Historical!G18</f>
        <v>2345</v>
      </c>
      <c r="C8" s="3" t="s">
        <v>120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7.25" customHeight="1">
      <c r="A9" s="3" t="s">
        <v>121</v>
      </c>
      <c r="B9" s="17">
        <f>B7+B8</f>
        <v>24421.0176</v>
      </c>
      <c r="C9" s="3" t="s">
        <v>120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7.25" customHeight="1">
      <c r="A10" s="3" t="s">
        <v>122</v>
      </c>
      <c r="B10" s="15">
        <v>0.0368</v>
      </c>
      <c r="C10" s="3" t="s">
        <v>123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7.25" customHeight="1">
      <c r="A11" s="3" t="s">
        <v>124</v>
      </c>
      <c r="B11" s="15">
        <v>0.0575</v>
      </c>
      <c r="C11" s="3" t="s">
        <v>123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7.25" customHeight="1">
      <c r="A12" s="3" t="s">
        <v>125</v>
      </c>
      <c r="B12" s="8">
        <v>1.0</v>
      </c>
      <c r="C12" s="3" t="s">
        <v>126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7.25" customHeight="1">
      <c r="A13" s="3" t="s">
        <v>127</v>
      </c>
      <c r="B13" s="15">
        <f>B10+(B12*B11)</f>
        <v>0.0943</v>
      </c>
      <c r="C13" s="3" t="s">
        <v>123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7.25" customHeight="1">
      <c r="A14" s="3" t="s">
        <v>128</v>
      </c>
      <c r="B14" s="15">
        <v>0.038</v>
      </c>
      <c r="C14" s="3" t="s">
        <v>123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7.25" customHeight="1">
      <c r="A15" s="3" t="s">
        <v>129</v>
      </c>
      <c r="B15" s="15">
        <v>0.2629317622491242</v>
      </c>
      <c r="C15" s="3" t="s">
        <v>123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7.25" customHeight="1">
      <c r="A16" s="3" t="s">
        <v>130</v>
      </c>
      <c r="B16" s="15">
        <f>B14*(1-B15)</f>
        <v>0.02800859303</v>
      </c>
      <c r="C16" s="3" t="s">
        <v>123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7.25" customHeight="1">
      <c r="A17" s="3" t="s">
        <v>131</v>
      </c>
      <c r="B17" s="15">
        <f>B7/B9</f>
        <v>0.9039761554</v>
      </c>
      <c r="C17" s="3" t="s">
        <v>123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7.25" customHeight="1">
      <c r="A18" s="3" t="s">
        <v>132</v>
      </c>
      <c r="B18" s="15">
        <f>B8/B9</f>
        <v>0.09602384464</v>
      </c>
      <c r="C18" s="3" t="s">
        <v>123</v>
      </c>
      <c r="D18" s="4"/>
      <c r="E18" s="4"/>
      <c r="F18" s="4"/>
      <c r="G18" s="4"/>
      <c r="H18" s="4" t="s">
        <v>133</v>
      </c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7.25" customHeight="1">
      <c r="A19" s="3" t="s">
        <v>134</v>
      </c>
      <c r="B19" s="15">
        <f>(B13*B17)+(B16*B18)</f>
        <v>0.08793444424</v>
      </c>
      <c r="C19" s="3" t="s">
        <v>123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7.25" customHeight="1">
      <c r="A20" s="3" t="s">
        <v>135</v>
      </c>
      <c r="B20" s="8">
        <v>0.015</v>
      </c>
      <c r="C20" s="3" t="s">
        <v>123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4"/>
      <c r="B21" s="20"/>
      <c r="C21" s="4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15.75" customHeight="1">
      <c r="A22" s="4"/>
      <c r="B22" s="20"/>
      <c r="C22" s="4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15.75" customHeight="1">
      <c r="A23" s="4"/>
      <c r="B23" s="20"/>
      <c r="C23" s="4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5.75" customHeight="1">
      <c r="A24" s="4"/>
      <c r="B24" s="20"/>
      <c r="C24" s="4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5.75" customHeight="1">
      <c r="A25" s="4"/>
      <c r="B25" s="20"/>
      <c r="C25" s="4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5.75" customHeight="1">
      <c r="A26" s="4"/>
      <c r="B26" s="20"/>
      <c r="C26" s="4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5.75" customHeight="1">
      <c r="A27" s="4"/>
      <c r="B27" s="20"/>
      <c r="C27" s="4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5.75" customHeight="1">
      <c r="A28" s="4"/>
      <c r="B28" s="20"/>
      <c r="C28" s="4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5.75" customHeight="1">
      <c r="A29" s="4"/>
      <c r="B29" s="20"/>
      <c r="C29" s="4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5.75" customHeight="1">
      <c r="A30" s="4"/>
      <c r="B30" s="20"/>
      <c r="C30" s="4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5.75" customHeight="1">
      <c r="A31" s="4"/>
      <c r="B31" s="20"/>
      <c r="C31" s="4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5.75" customHeight="1">
      <c r="A32" s="4"/>
      <c r="B32" s="20"/>
      <c r="C32" s="4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5.75" customHeight="1">
      <c r="A33" s="4"/>
      <c r="B33" s="20"/>
      <c r="C33" s="4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5.75" customHeight="1">
      <c r="A34" s="4"/>
      <c r="B34" s="20"/>
      <c r="C34" s="4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5.75" customHeight="1">
      <c r="A35" s="4"/>
      <c r="B35" s="20"/>
      <c r="C35" s="4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5.75" customHeight="1">
      <c r="A36" s="4"/>
      <c r="B36" s="20"/>
      <c r="C36" s="4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5.75" customHeight="1">
      <c r="A37" s="4"/>
      <c r="B37" s="20"/>
      <c r="C37" s="4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5.75" customHeight="1">
      <c r="A38" s="4"/>
      <c r="B38" s="20"/>
      <c r="C38" s="4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5.75" customHeight="1">
      <c r="A39" s="4"/>
      <c r="B39" s="20"/>
      <c r="C39" s="4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5.75" customHeight="1">
      <c r="A40" s="4"/>
      <c r="B40" s="20"/>
      <c r="C40" s="4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5.75" customHeight="1">
      <c r="A41" s="4"/>
      <c r="B41" s="20"/>
      <c r="C41" s="4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5.75" customHeight="1">
      <c r="A42" s="4"/>
      <c r="B42" s="20"/>
      <c r="C42" s="4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5.75" customHeight="1">
      <c r="A43" s="4"/>
      <c r="B43" s="20"/>
      <c r="C43" s="4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5.75" customHeight="1">
      <c r="A44" s="4"/>
      <c r="B44" s="20"/>
      <c r="C44" s="4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5.75" customHeight="1">
      <c r="A45" s="4"/>
      <c r="B45" s="20"/>
      <c r="C45" s="4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5.75" customHeight="1">
      <c r="A46" s="4"/>
      <c r="B46" s="20"/>
      <c r="C46" s="4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5.75" customHeight="1">
      <c r="A47" s="4"/>
      <c r="B47" s="20"/>
      <c r="C47" s="4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5.75" customHeight="1">
      <c r="A48" s="4"/>
      <c r="B48" s="20"/>
      <c r="C48" s="4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5.75" customHeight="1">
      <c r="A49" s="4"/>
      <c r="B49" s="20"/>
      <c r="C49" s="4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5.75" customHeight="1">
      <c r="A50" s="4"/>
      <c r="B50" s="20"/>
      <c r="C50" s="4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5.75" customHeight="1">
      <c r="A51" s="4"/>
      <c r="B51" s="20"/>
      <c r="C51" s="4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5.75" customHeight="1">
      <c r="A52" s="4"/>
      <c r="B52" s="20"/>
      <c r="C52" s="4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5.75" customHeight="1">
      <c r="A53" s="4"/>
      <c r="B53" s="20"/>
      <c r="C53" s="4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5.75" customHeight="1">
      <c r="A54" s="4"/>
      <c r="B54" s="20"/>
      <c r="C54" s="4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5.75" customHeight="1">
      <c r="A55" s="4"/>
      <c r="B55" s="20"/>
      <c r="C55" s="4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5.75" customHeight="1">
      <c r="A56" s="4"/>
      <c r="B56" s="20"/>
      <c r="C56" s="4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5.75" customHeight="1">
      <c r="A57" s="4"/>
      <c r="B57" s="20"/>
      <c r="C57" s="4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5.75" customHeight="1">
      <c r="A58" s="4"/>
      <c r="B58" s="20"/>
      <c r="C58" s="4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5.75" customHeight="1">
      <c r="A59" s="4"/>
      <c r="B59" s="20"/>
      <c r="C59" s="4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5.75" customHeight="1">
      <c r="A60" s="4"/>
      <c r="B60" s="20"/>
      <c r="C60" s="4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5.75" customHeight="1">
      <c r="A61" s="4"/>
      <c r="B61" s="20"/>
      <c r="C61" s="4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5.75" customHeight="1">
      <c r="A62" s="4"/>
      <c r="B62" s="20"/>
      <c r="C62" s="4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5.75" customHeight="1">
      <c r="A63" s="4"/>
      <c r="B63" s="20"/>
      <c r="C63" s="4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5.75" customHeight="1">
      <c r="A64" s="4"/>
      <c r="B64" s="20"/>
      <c r="C64" s="4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5.75" customHeight="1">
      <c r="A65" s="4"/>
      <c r="B65" s="20"/>
      <c r="C65" s="4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5.75" customHeight="1">
      <c r="A66" s="4"/>
      <c r="B66" s="20"/>
      <c r="C66" s="4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5.75" customHeight="1">
      <c r="A67" s="4"/>
      <c r="B67" s="20"/>
      <c r="C67" s="4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5.75" customHeight="1">
      <c r="A68" s="4"/>
      <c r="B68" s="20"/>
      <c r="C68" s="4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5.75" customHeight="1">
      <c r="A69" s="4"/>
      <c r="B69" s="20"/>
      <c r="C69" s="4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5.75" customHeight="1">
      <c r="A70" s="4"/>
      <c r="B70" s="20"/>
      <c r="C70" s="4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5.75" customHeight="1">
      <c r="A71" s="4"/>
      <c r="B71" s="20"/>
      <c r="C71" s="4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5.75" customHeight="1">
      <c r="A72" s="4"/>
      <c r="B72" s="20"/>
      <c r="C72" s="4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5.75" customHeight="1">
      <c r="A73" s="4"/>
      <c r="B73" s="20"/>
      <c r="C73" s="4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5.75" customHeight="1">
      <c r="A74" s="4"/>
      <c r="B74" s="20"/>
      <c r="C74" s="4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5.75" customHeight="1">
      <c r="A75" s="4"/>
      <c r="B75" s="20"/>
      <c r="C75" s="4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5.75" customHeight="1">
      <c r="A76" s="4"/>
      <c r="B76" s="20"/>
      <c r="C76" s="4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5.75" customHeight="1">
      <c r="A77" s="4"/>
      <c r="B77" s="20"/>
      <c r="C77" s="4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5.75" customHeight="1">
      <c r="A78" s="4"/>
      <c r="B78" s="20"/>
      <c r="C78" s="4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5.75" customHeight="1">
      <c r="A79" s="4"/>
      <c r="B79" s="20"/>
      <c r="C79" s="4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5.75" customHeight="1">
      <c r="A80" s="4"/>
      <c r="B80" s="20"/>
      <c r="C80" s="4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5.75" customHeight="1">
      <c r="A81" s="4"/>
      <c r="B81" s="20"/>
      <c r="C81" s="4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5.75" customHeight="1">
      <c r="A82" s="4"/>
      <c r="B82" s="20"/>
      <c r="C82" s="4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5.75" customHeight="1">
      <c r="A83" s="4"/>
      <c r="B83" s="20"/>
      <c r="C83" s="4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5.75" customHeight="1">
      <c r="A84" s="4"/>
      <c r="B84" s="20"/>
      <c r="C84" s="4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5.75" customHeight="1">
      <c r="A85" s="4"/>
      <c r="B85" s="20"/>
      <c r="C85" s="4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5.75" customHeight="1">
      <c r="A86" s="4"/>
      <c r="B86" s="20"/>
      <c r="C86" s="4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5.75" customHeight="1">
      <c r="A87" s="4"/>
      <c r="B87" s="20"/>
      <c r="C87" s="4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5.75" customHeight="1">
      <c r="A88" s="4"/>
      <c r="B88" s="20"/>
      <c r="C88" s="4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5.75" customHeight="1">
      <c r="A89" s="4"/>
      <c r="B89" s="20"/>
      <c r="C89" s="4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5.75" customHeight="1">
      <c r="A90" s="4"/>
      <c r="B90" s="20"/>
      <c r="C90" s="4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5.75" customHeight="1">
      <c r="A91" s="4"/>
      <c r="B91" s="20"/>
      <c r="C91" s="4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5.75" customHeight="1">
      <c r="A92" s="4"/>
      <c r="B92" s="20"/>
      <c r="C92" s="4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5.75" customHeight="1">
      <c r="A93" s="4"/>
      <c r="B93" s="20"/>
      <c r="C93" s="4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5.75" customHeight="1">
      <c r="A94" s="4"/>
      <c r="B94" s="20"/>
      <c r="C94" s="4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5.75" customHeight="1">
      <c r="A95" s="4"/>
      <c r="B95" s="20"/>
      <c r="C95" s="4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5.75" customHeight="1">
      <c r="A96" s="4"/>
      <c r="B96" s="20"/>
      <c r="C96" s="4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5.75" customHeight="1">
      <c r="A97" s="4"/>
      <c r="B97" s="20"/>
      <c r="C97" s="4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5.75" customHeight="1">
      <c r="A98" s="4"/>
      <c r="B98" s="20"/>
      <c r="C98" s="4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5.75" customHeight="1">
      <c r="A99" s="4"/>
      <c r="B99" s="20"/>
      <c r="C99" s="4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5.75" customHeight="1">
      <c r="A100" s="4"/>
      <c r="B100" s="20"/>
      <c r="C100" s="4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5.75" customHeight="1">
      <c r="A101" s="4"/>
      <c r="B101" s="20"/>
      <c r="C101" s="4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5.75" customHeight="1">
      <c r="A102" s="4"/>
      <c r="B102" s="20"/>
      <c r="C102" s="4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5.75" customHeight="1">
      <c r="A103" s="4"/>
      <c r="B103" s="20"/>
      <c r="C103" s="4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5.75" customHeight="1">
      <c r="A104" s="4"/>
      <c r="B104" s="20"/>
      <c r="C104" s="4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5.75" customHeight="1">
      <c r="A105" s="4"/>
      <c r="B105" s="20"/>
      <c r="C105" s="4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5.75" customHeight="1">
      <c r="A106" s="4"/>
      <c r="B106" s="20"/>
      <c r="C106" s="4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5.75" customHeight="1">
      <c r="A107" s="4"/>
      <c r="B107" s="20"/>
      <c r="C107" s="4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5.75" customHeight="1">
      <c r="A108" s="4"/>
      <c r="B108" s="20"/>
      <c r="C108" s="4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5.75" customHeight="1">
      <c r="A109" s="4"/>
      <c r="B109" s="20"/>
      <c r="C109" s="4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5.75" customHeight="1">
      <c r="A110" s="4"/>
      <c r="B110" s="20"/>
      <c r="C110" s="4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5.75" customHeight="1">
      <c r="A111" s="4"/>
      <c r="B111" s="20"/>
      <c r="C111" s="4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5.75" customHeight="1">
      <c r="A112" s="4"/>
      <c r="B112" s="20"/>
      <c r="C112" s="4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5.75" customHeight="1">
      <c r="A113" s="4"/>
      <c r="B113" s="20"/>
      <c r="C113" s="4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5.75" customHeight="1">
      <c r="A114" s="4"/>
      <c r="B114" s="20"/>
      <c r="C114" s="4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5.75" customHeight="1">
      <c r="A115" s="4"/>
      <c r="B115" s="20"/>
      <c r="C115" s="4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5.75" customHeight="1">
      <c r="A116" s="4"/>
      <c r="B116" s="20"/>
      <c r="C116" s="4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5.75" customHeight="1">
      <c r="A117" s="4"/>
      <c r="B117" s="20"/>
      <c r="C117" s="4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5.75" customHeight="1">
      <c r="A118" s="4"/>
      <c r="B118" s="20"/>
      <c r="C118" s="4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5.75" customHeight="1">
      <c r="A119" s="4"/>
      <c r="B119" s="20"/>
      <c r="C119" s="4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5.75" customHeight="1">
      <c r="A120" s="4"/>
      <c r="B120" s="20"/>
      <c r="C120" s="4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5.75" customHeight="1">
      <c r="A121" s="4"/>
      <c r="B121" s="20"/>
      <c r="C121" s="4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5.75" customHeight="1">
      <c r="A122" s="4"/>
      <c r="B122" s="20"/>
      <c r="C122" s="4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5.75" customHeight="1">
      <c r="A123" s="4"/>
      <c r="B123" s="20"/>
      <c r="C123" s="4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5.75" customHeight="1">
      <c r="A124" s="4"/>
      <c r="B124" s="20"/>
      <c r="C124" s="4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5.75" customHeight="1">
      <c r="A125" s="4"/>
      <c r="B125" s="20"/>
      <c r="C125" s="4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5.75" customHeight="1">
      <c r="A126" s="4"/>
      <c r="B126" s="20"/>
      <c r="C126" s="4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5.75" customHeight="1">
      <c r="A127" s="4"/>
      <c r="B127" s="20"/>
      <c r="C127" s="4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5.75" customHeight="1">
      <c r="A128" s="4"/>
      <c r="B128" s="20"/>
      <c r="C128" s="4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5.75" customHeight="1">
      <c r="A129" s="4"/>
      <c r="B129" s="20"/>
      <c r="C129" s="4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5.75" customHeight="1">
      <c r="A130" s="4"/>
      <c r="B130" s="20"/>
      <c r="C130" s="4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5.75" customHeight="1">
      <c r="A131" s="4"/>
      <c r="B131" s="20"/>
      <c r="C131" s="4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5.75" customHeight="1">
      <c r="A132" s="4"/>
      <c r="B132" s="20"/>
      <c r="C132" s="4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5.75" customHeight="1">
      <c r="A133" s="4"/>
      <c r="B133" s="20"/>
      <c r="C133" s="4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5.75" customHeight="1">
      <c r="A134" s="4"/>
      <c r="B134" s="20"/>
      <c r="C134" s="4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5.75" customHeight="1">
      <c r="A135" s="4"/>
      <c r="B135" s="20"/>
      <c r="C135" s="4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5.75" customHeight="1">
      <c r="A136" s="4"/>
      <c r="B136" s="20"/>
      <c r="C136" s="4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5.75" customHeight="1">
      <c r="A137" s="4"/>
      <c r="B137" s="20"/>
      <c r="C137" s="4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5.75" customHeight="1">
      <c r="A138" s="4"/>
      <c r="B138" s="20"/>
      <c r="C138" s="4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5.75" customHeight="1">
      <c r="A139" s="4"/>
      <c r="B139" s="20"/>
      <c r="C139" s="4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5.75" customHeight="1">
      <c r="A140" s="4"/>
      <c r="B140" s="20"/>
      <c r="C140" s="4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5.75" customHeight="1">
      <c r="A141" s="4"/>
      <c r="B141" s="20"/>
      <c r="C141" s="4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5.75" customHeight="1">
      <c r="A142" s="4"/>
      <c r="B142" s="20"/>
      <c r="C142" s="4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5.75" customHeight="1">
      <c r="A143" s="4"/>
      <c r="B143" s="20"/>
      <c r="C143" s="4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5.75" customHeight="1">
      <c r="A144" s="4"/>
      <c r="B144" s="20"/>
      <c r="C144" s="4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5.75" customHeight="1">
      <c r="A145" s="4"/>
      <c r="B145" s="20"/>
      <c r="C145" s="4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5.75" customHeight="1">
      <c r="A146" s="4"/>
      <c r="B146" s="20"/>
      <c r="C146" s="4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5.75" customHeight="1">
      <c r="A147" s="4"/>
      <c r="B147" s="20"/>
      <c r="C147" s="4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5.75" customHeight="1">
      <c r="A148" s="4"/>
      <c r="B148" s="20"/>
      <c r="C148" s="4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5.75" customHeight="1">
      <c r="A149" s="4"/>
      <c r="B149" s="20"/>
      <c r="C149" s="4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5.75" customHeight="1">
      <c r="A150" s="4"/>
      <c r="B150" s="20"/>
      <c r="C150" s="4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5.75" customHeight="1">
      <c r="A151" s="4"/>
      <c r="B151" s="20"/>
      <c r="C151" s="4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5.75" customHeight="1">
      <c r="A152" s="4"/>
      <c r="B152" s="20"/>
      <c r="C152" s="4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5.75" customHeight="1">
      <c r="A153" s="4"/>
      <c r="B153" s="20"/>
      <c r="C153" s="4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5.75" customHeight="1">
      <c r="A154" s="4"/>
      <c r="B154" s="20"/>
      <c r="C154" s="4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5.75" customHeight="1">
      <c r="A155" s="4"/>
      <c r="B155" s="20"/>
      <c r="C155" s="4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5.75" customHeight="1">
      <c r="A156" s="4"/>
      <c r="B156" s="20"/>
      <c r="C156" s="4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5.75" customHeight="1">
      <c r="A157" s="4"/>
      <c r="B157" s="20"/>
      <c r="C157" s="4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5.75" customHeight="1">
      <c r="A158" s="4"/>
      <c r="B158" s="20"/>
      <c r="C158" s="4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5.75" customHeight="1">
      <c r="A159" s="4"/>
      <c r="B159" s="20"/>
      <c r="C159" s="4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5.75" customHeight="1">
      <c r="A160" s="4"/>
      <c r="B160" s="20"/>
      <c r="C160" s="4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5.75" customHeight="1">
      <c r="A161" s="4"/>
      <c r="B161" s="20"/>
      <c r="C161" s="4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5.75" customHeight="1">
      <c r="A162" s="4"/>
      <c r="B162" s="20"/>
      <c r="C162" s="4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5.75" customHeight="1">
      <c r="A163" s="4"/>
      <c r="B163" s="20"/>
      <c r="C163" s="4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5.75" customHeight="1">
      <c r="A164" s="4"/>
      <c r="B164" s="20"/>
      <c r="C164" s="4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5.75" customHeight="1">
      <c r="A165" s="4"/>
      <c r="B165" s="20"/>
      <c r="C165" s="4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5.75" customHeight="1">
      <c r="A166" s="4"/>
      <c r="B166" s="20"/>
      <c r="C166" s="4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5.75" customHeight="1">
      <c r="A167" s="4"/>
      <c r="B167" s="20"/>
      <c r="C167" s="4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5.75" customHeight="1">
      <c r="A168" s="4"/>
      <c r="B168" s="20"/>
      <c r="C168" s="4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5.75" customHeight="1">
      <c r="A169" s="4"/>
      <c r="B169" s="20"/>
      <c r="C169" s="4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5.75" customHeight="1">
      <c r="A170" s="4"/>
      <c r="B170" s="20"/>
      <c r="C170" s="4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5.75" customHeight="1">
      <c r="A171" s="4"/>
      <c r="B171" s="20"/>
      <c r="C171" s="4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5.75" customHeight="1">
      <c r="A172" s="4"/>
      <c r="B172" s="20"/>
      <c r="C172" s="4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5.75" customHeight="1">
      <c r="A173" s="4"/>
      <c r="B173" s="20"/>
      <c r="C173" s="4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5.75" customHeight="1">
      <c r="A174" s="4"/>
      <c r="B174" s="20"/>
      <c r="C174" s="4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5.75" customHeight="1">
      <c r="A175" s="4"/>
      <c r="B175" s="20"/>
      <c r="C175" s="4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5.75" customHeight="1">
      <c r="A176" s="4"/>
      <c r="B176" s="20"/>
      <c r="C176" s="4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5.75" customHeight="1">
      <c r="A177" s="4"/>
      <c r="B177" s="20"/>
      <c r="C177" s="4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5.75" customHeight="1">
      <c r="A178" s="4"/>
      <c r="B178" s="20"/>
      <c r="C178" s="4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5.75" customHeight="1">
      <c r="A179" s="4"/>
      <c r="B179" s="20"/>
      <c r="C179" s="4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5.75" customHeight="1">
      <c r="A180" s="4"/>
      <c r="B180" s="20"/>
      <c r="C180" s="4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5.75" customHeight="1">
      <c r="A181" s="4"/>
      <c r="B181" s="20"/>
      <c r="C181" s="4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5.75" customHeight="1">
      <c r="A182" s="4"/>
      <c r="B182" s="20"/>
      <c r="C182" s="4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5.75" customHeight="1">
      <c r="A183" s="4"/>
      <c r="B183" s="20"/>
      <c r="C183" s="4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5.75" customHeight="1">
      <c r="A184" s="4"/>
      <c r="B184" s="20"/>
      <c r="C184" s="4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5.75" customHeight="1">
      <c r="A185" s="4"/>
      <c r="B185" s="20"/>
      <c r="C185" s="4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5.75" customHeight="1">
      <c r="A186" s="4"/>
      <c r="B186" s="20"/>
      <c r="C186" s="4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5.75" customHeight="1">
      <c r="A187" s="4"/>
      <c r="B187" s="20"/>
      <c r="C187" s="4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5.75" customHeight="1">
      <c r="A188" s="4"/>
      <c r="B188" s="20"/>
      <c r="C188" s="4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5.75" customHeight="1">
      <c r="A189" s="4"/>
      <c r="B189" s="20"/>
      <c r="C189" s="4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5.75" customHeight="1">
      <c r="A190" s="4"/>
      <c r="B190" s="20"/>
      <c r="C190" s="4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5.75" customHeight="1">
      <c r="A191" s="4"/>
      <c r="B191" s="20"/>
      <c r="C191" s="4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5.75" customHeight="1">
      <c r="A192" s="4"/>
      <c r="B192" s="20"/>
      <c r="C192" s="4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5.75" customHeight="1">
      <c r="A193" s="4"/>
      <c r="B193" s="20"/>
      <c r="C193" s="4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5.75" customHeight="1">
      <c r="A194" s="4"/>
      <c r="B194" s="20"/>
      <c r="C194" s="4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5.75" customHeight="1">
      <c r="A195" s="4"/>
      <c r="B195" s="20"/>
      <c r="C195" s="4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5.75" customHeight="1">
      <c r="A196" s="4"/>
      <c r="B196" s="20"/>
      <c r="C196" s="4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5.75" customHeight="1">
      <c r="A197" s="4"/>
      <c r="B197" s="20"/>
      <c r="C197" s="4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5.75" customHeight="1">
      <c r="A198" s="4"/>
      <c r="B198" s="20"/>
      <c r="C198" s="4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5.75" customHeight="1">
      <c r="A199" s="4"/>
      <c r="B199" s="20"/>
      <c r="C199" s="4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5.75" customHeight="1">
      <c r="A200" s="4"/>
      <c r="B200" s="20"/>
      <c r="C200" s="4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5.75" customHeight="1">
      <c r="A201" s="4"/>
      <c r="B201" s="20"/>
      <c r="C201" s="4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5.75" customHeight="1">
      <c r="A202" s="4"/>
      <c r="B202" s="20"/>
      <c r="C202" s="4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5.75" customHeight="1">
      <c r="A203" s="4"/>
      <c r="B203" s="20"/>
      <c r="C203" s="4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5.75" customHeight="1">
      <c r="A204" s="4"/>
      <c r="B204" s="20"/>
      <c r="C204" s="4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5.75" customHeight="1">
      <c r="A205" s="4"/>
      <c r="B205" s="20"/>
      <c r="C205" s="4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5.75" customHeight="1">
      <c r="A206" s="4"/>
      <c r="B206" s="20"/>
      <c r="C206" s="4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5.75" customHeight="1">
      <c r="A207" s="4"/>
      <c r="B207" s="20"/>
      <c r="C207" s="4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5.75" customHeight="1">
      <c r="A208" s="4"/>
      <c r="B208" s="20"/>
      <c r="C208" s="4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5.75" customHeight="1">
      <c r="A209" s="4"/>
      <c r="B209" s="20"/>
      <c r="C209" s="4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5.75" customHeight="1">
      <c r="A210" s="4"/>
      <c r="B210" s="20"/>
      <c r="C210" s="4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5.75" customHeight="1">
      <c r="A211" s="4"/>
      <c r="B211" s="20"/>
      <c r="C211" s="4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5.75" customHeight="1">
      <c r="A212" s="4"/>
      <c r="B212" s="20"/>
      <c r="C212" s="4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5.75" customHeight="1">
      <c r="A213" s="4"/>
      <c r="B213" s="20"/>
      <c r="C213" s="4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5.75" customHeight="1">
      <c r="A214" s="4"/>
      <c r="B214" s="20"/>
      <c r="C214" s="4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5.75" customHeight="1">
      <c r="A215" s="4"/>
      <c r="B215" s="20"/>
      <c r="C215" s="4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5.75" customHeight="1">
      <c r="A216" s="4"/>
      <c r="B216" s="20"/>
      <c r="C216" s="4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5.75" customHeight="1">
      <c r="A217" s="4"/>
      <c r="B217" s="20"/>
      <c r="C217" s="4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5.75" customHeight="1">
      <c r="A218" s="4"/>
      <c r="B218" s="20"/>
      <c r="C218" s="4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5.75" customHeight="1">
      <c r="A219" s="4"/>
      <c r="B219" s="20"/>
      <c r="C219" s="4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5.75" customHeight="1">
      <c r="A220" s="4"/>
      <c r="B220" s="20"/>
      <c r="C220" s="4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15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15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15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15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15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15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15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15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15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15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15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15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15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15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15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15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15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15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15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15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15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15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15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15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15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15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15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15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15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15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15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15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15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15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15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15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15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15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15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15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15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15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15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15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15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15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15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15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15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15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15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15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15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15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15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15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15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15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15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15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15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15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15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15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15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15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15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15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15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15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15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15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15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15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15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15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15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15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15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15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15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15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15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15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15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15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15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15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15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15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15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15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15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15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15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15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15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15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15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15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15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15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15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15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15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15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15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15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15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15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15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15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15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15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15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15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15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15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15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15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15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15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15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15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15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15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15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15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15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15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15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15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15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15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15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15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15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15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15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15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15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15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15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15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15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15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15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15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15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15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15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15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15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15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15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15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15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15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15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15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15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15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15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15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15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15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15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15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15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15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15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15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15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15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15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15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15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15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15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15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15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15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15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15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15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15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15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15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15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15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15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15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15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15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15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15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15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15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15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15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15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15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15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15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15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15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15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15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15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15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15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15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15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15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15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15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15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15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15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15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15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15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15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15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15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15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15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15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15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15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15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15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15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15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15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15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15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15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15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15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15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15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15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15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15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15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15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15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15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15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15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15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15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15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15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15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15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15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15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15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15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15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15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15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15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15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15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15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15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15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15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15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15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15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15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15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15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15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15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15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15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15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15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15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15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15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15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15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15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15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15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15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15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15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15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15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15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15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15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15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15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15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15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15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15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15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15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15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15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15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15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15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15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15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15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15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15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15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15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15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15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15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15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15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15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15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15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15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15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15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15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15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15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15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15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15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15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15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15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15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15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15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15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15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15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15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15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15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15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15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15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15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15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15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15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15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15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15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15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15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15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15.7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15.7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15.7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15.7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15.7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15.7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15.7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15.7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15.7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15.7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15.7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15.7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15.7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15.7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15.7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15.7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15.7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15.7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15.7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15.7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15.7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15.7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ht="15.7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15.7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34.0"/>
    <col customWidth="1" min="2" max="6" width="16.0"/>
    <col customWidth="1" min="7" max="26" width="8.71"/>
  </cols>
  <sheetData>
    <row r="1" ht="17.25" customHeight="1">
      <c r="A1" s="1" t="s">
        <v>136</v>
      </c>
      <c r="B1" s="21"/>
      <c r="C1" s="11"/>
      <c r="D1" s="11"/>
      <c r="E1" s="11"/>
      <c r="F1" s="11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7.25" customHeight="1">
      <c r="A2" s="5" t="s">
        <v>137</v>
      </c>
      <c r="B2" s="21"/>
      <c r="C2" s="11"/>
      <c r="D2" s="11"/>
      <c r="E2" s="11"/>
      <c r="F2" s="11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7.25" customHeight="1">
      <c r="A3" s="6"/>
      <c r="B3" s="6" t="s">
        <v>55</v>
      </c>
      <c r="C3" s="12" t="s">
        <v>56</v>
      </c>
      <c r="D3" s="12" t="s">
        <v>57</v>
      </c>
      <c r="E3" s="12" t="s">
        <v>58</v>
      </c>
      <c r="F3" s="12" t="s">
        <v>59</v>
      </c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7.25" customHeight="1">
      <c r="A4" s="13" t="s">
        <v>37</v>
      </c>
      <c r="B4" s="14">
        <f>Forecast!B4</f>
        <v>26382.05971</v>
      </c>
      <c r="C4" s="14">
        <f>Forecast!C4</f>
        <v>27041.6112</v>
      </c>
      <c r="D4" s="14">
        <f>Forecast!D4</f>
        <v>27852.85953</v>
      </c>
      <c r="E4" s="14">
        <f>Forecast!E4</f>
        <v>28688.44532</v>
      </c>
      <c r="F4" s="14">
        <f>Forecast!F4</f>
        <v>29405.65645</v>
      </c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7.25" customHeight="1">
      <c r="A5" s="13" t="s">
        <v>62</v>
      </c>
      <c r="B5" s="14">
        <f>Forecast!B9</f>
        <v>2822.880388</v>
      </c>
      <c r="C5" s="14">
        <f>Forecast!C9</f>
        <v>3028.660454</v>
      </c>
      <c r="D5" s="14">
        <f>Forecast!D9</f>
        <v>3230.931706</v>
      </c>
      <c r="E5" s="14">
        <f>Forecast!E9</f>
        <v>3413.924993</v>
      </c>
      <c r="F5" s="14">
        <f>Forecast!F9</f>
        <v>3528.678774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7.25" customHeight="1">
      <c r="A6" s="13" t="s">
        <v>64</v>
      </c>
      <c r="B6" s="14">
        <f>Forecast!B11</f>
        <v>2080.655473</v>
      </c>
      <c r="C6" s="14">
        <f>Forecast!C11</f>
        <v>2232.329424</v>
      </c>
      <c r="D6" s="14">
        <f>Forecast!D11</f>
        <v>2381.417139</v>
      </c>
      <c r="E6" s="14">
        <f>Forecast!E11</f>
        <v>2516.295678</v>
      </c>
      <c r="F6" s="14">
        <f>Forecast!F11</f>
        <v>2600.877046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7.25" customHeight="1">
      <c r="A7" s="13" t="s">
        <v>66</v>
      </c>
      <c r="B7" s="14">
        <f>Forecast!B13</f>
        <v>1925.890358</v>
      </c>
      <c r="C7" s="14">
        <f>Forecast!C13</f>
        <v>1946.996006</v>
      </c>
      <c r="D7" s="14">
        <f>Forecast!D13</f>
        <v>1977.553027</v>
      </c>
      <c r="E7" s="14">
        <f>Forecast!E13</f>
        <v>2008.191172</v>
      </c>
      <c r="F7" s="14">
        <f>Forecast!F13</f>
        <v>2058.395952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7.25" customHeight="1">
      <c r="A8" s="13" t="s">
        <v>47</v>
      </c>
      <c r="B8" s="14">
        <f>Forecast!B15</f>
        <v>1925.890358</v>
      </c>
      <c r="C8" s="14">
        <f>Forecast!C15</f>
        <v>1946.996006</v>
      </c>
      <c r="D8" s="14">
        <f>Forecast!D15</f>
        <v>1977.553027</v>
      </c>
      <c r="E8" s="14">
        <f>Forecast!E15</f>
        <v>2008.191172</v>
      </c>
      <c r="F8" s="14">
        <f>Forecast!F15</f>
        <v>2058.395952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7.25" customHeight="1">
      <c r="A9" s="13" t="s">
        <v>67</v>
      </c>
      <c r="B9" s="14">
        <f>Forecast!B16</f>
        <v>3.898826557</v>
      </c>
      <c r="C9" s="14">
        <f>Forecast!C16</f>
        <v>6.595514926</v>
      </c>
      <c r="D9" s="14">
        <f>Forecast!D16</f>
        <v>8.112483359</v>
      </c>
      <c r="E9" s="14">
        <f>Forecast!E16</f>
        <v>8.35585786</v>
      </c>
      <c r="F9" s="14">
        <f>Forecast!F16</f>
        <v>7.17211133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7.25" customHeight="1">
      <c r="A10" s="13" t="s">
        <v>68</v>
      </c>
      <c r="B10" s="14">
        <f>Forecast!B17</f>
        <v>2076.756647</v>
      </c>
      <c r="C10" s="14">
        <f>Forecast!C17</f>
        <v>2225.733909</v>
      </c>
      <c r="D10" s="14">
        <f>Forecast!D17</f>
        <v>2373.304655</v>
      </c>
      <c r="E10" s="14">
        <f>Forecast!E17</f>
        <v>2507.939821</v>
      </c>
      <c r="F10" s="14">
        <f>Forecast!F17</f>
        <v>2593.704934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7.25" customHeight="1">
      <c r="A11" s="13" t="s">
        <v>138</v>
      </c>
      <c r="B11" s="22">
        <f>(1+WACC!$B$19)^-(COLUMN()-1)</f>
        <v>0.9191730304</v>
      </c>
      <c r="C11" s="22">
        <f>(1+WACC!$B$19)^-(COLUMN()-1)</f>
        <v>0.8448790598</v>
      </c>
      <c r="D11" s="22">
        <f>(1+WACC!$B$19)^-(COLUMN()-1)</f>
        <v>0.7765900458</v>
      </c>
      <c r="E11" s="22">
        <f>(1+WACC!$B$19)^-(COLUMN()-1)</f>
        <v>0.7138206258</v>
      </c>
      <c r="F11" s="22">
        <f>(1+WACC!$B$19)^-(COLUMN()-1)</f>
        <v>0.6561246677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7.25" customHeight="1">
      <c r="A12" s="13" t="s">
        <v>139</v>
      </c>
      <c r="B12" s="14">
        <f t="shared" ref="B12:F12" si="1">B10*B11</f>
        <v>1908.8987</v>
      </c>
      <c r="C12" s="14">
        <f t="shared" si="1"/>
        <v>1880.475972</v>
      </c>
      <c r="D12" s="14">
        <f t="shared" si="1"/>
        <v>1843.084771</v>
      </c>
      <c r="E12" s="14">
        <f t="shared" si="1"/>
        <v>1790.219172</v>
      </c>
      <c r="F12" s="14">
        <f t="shared" si="1"/>
        <v>1701.793788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7.25" customHeight="1">
      <c r="A13" s="3"/>
      <c r="B13" s="21"/>
      <c r="C13" s="11"/>
      <c r="D13" s="11"/>
      <c r="E13" s="11"/>
      <c r="F13" s="11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7.25" customHeight="1">
      <c r="A14" s="3"/>
      <c r="B14" s="21"/>
      <c r="C14" s="11"/>
      <c r="D14" s="11"/>
      <c r="E14" s="11"/>
      <c r="F14" s="11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7.25" customHeight="1">
      <c r="A15" s="6" t="s">
        <v>140</v>
      </c>
      <c r="B15" s="21"/>
      <c r="C15" s="11"/>
      <c r="D15" s="11"/>
      <c r="E15" s="11"/>
      <c r="F15" s="11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7.25" customHeight="1">
      <c r="A16" s="3" t="s">
        <v>141</v>
      </c>
      <c r="B16" s="17">
        <f>SUM(B12:F12)</f>
        <v>9124.472404</v>
      </c>
      <c r="C16" s="11"/>
      <c r="D16" s="11"/>
      <c r="E16" s="11"/>
      <c r="F16" s="11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7.25" customHeight="1">
      <c r="A17" s="3" t="s">
        <v>142</v>
      </c>
      <c r="B17" s="17">
        <f>F10*(1+WACC!$B$20)/(WACC!$B$19-WACC!$B$20)</f>
        <v>36095.57235</v>
      </c>
      <c r="C17" s="11"/>
      <c r="D17" s="11"/>
      <c r="E17" s="11"/>
      <c r="F17" s="11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7.25" customHeight="1">
      <c r="A18" s="3" t="s">
        <v>143</v>
      </c>
      <c r="B18" s="17">
        <f>B17*F11</f>
        <v>23683.19541</v>
      </c>
      <c r="C18" s="11"/>
      <c r="D18" s="11"/>
      <c r="E18" s="11"/>
      <c r="F18" s="11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7.25" customHeight="1">
      <c r="A19" s="3" t="s">
        <v>144</v>
      </c>
      <c r="B19" s="17">
        <f>B16+B18</f>
        <v>32807.66782</v>
      </c>
      <c r="C19" s="11"/>
      <c r="D19" s="11"/>
      <c r="E19" s="11"/>
      <c r="F19" s="11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7.25" customHeight="1">
      <c r="A20" s="3" t="s">
        <v>51</v>
      </c>
      <c r="B20" s="17">
        <f>WACC!B8</f>
        <v>2345</v>
      </c>
      <c r="C20" s="11"/>
      <c r="D20" s="11"/>
      <c r="E20" s="11"/>
      <c r="F20" s="11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7.25" customHeight="1">
      <c r="A21" s="3" t="s">
        <v>145</v>
      </c>
      <c r="B21" s="17">
        <f>B19-B20</f>
        <v>30462.66782</v>
      </c>
      <c r="C21" s="11"/>
      <c r="D21" s="11"/>
      <c r="E21" s="11"/>
      <c r="F21" s="11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7.25" customHeight="1">
      <c r="A22" s="3" t="s">
        <v>117</v>
      </c>
      <c r="B22" s="17">
        <f>WACC!B6</f>
        <v>684.74</v>
      </c>
      <c r="C22" s="11"/>
      <c r="D22" s="11"/>
      <c r="E22" s="11"/>
      <c r="F22" s="11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7.25" customHeight="1">
      <c r="A23" s="3" t="s">
        <v>146</v>
      </c>
      <c r="B23" s="17">
        <f>B21/B22</f>
        <v>44.48793384</v>
      </c>
      <c r="C23" s="11"/>
      <c r="D23" s="11"/>
      <c r="E23" s="11"/>
      <c r="F23" s="11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7.25" customHeight="1">
      <c r="A24" s="3" t="s">
        <v>147</v>
      </c>
      <c r="B24" s="17">
        <f>WACC!B5</f>
        <v>32.24</v>
      </c>
      <c r="C24" s="11"/>
      <c r="D24" s="11"/>
      <c r="E24" s="11"/>
      <c r="F24" s="11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7.25" customHeight="1">
      <c r="A25" s="3" t="s">
        <v>148</v>
      </c>
      <c r="B25" s="15">
        <f>B23/B24-1</f>
        <v>0.3798986923</v>
      </c>
      <c r="C25" s="11"/>
      <c r="D25" s="11"/>
      <c r="E25" s="11"/>
      <c r="F25" s="11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23"/>
      <c r="C26" s="18"/>
      <c r="D26" s="18"/>
      <c r="E26" s="18"/>
      <c r="F26" s="18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5.75" customHeight="1">
      <c r="A27" s="4"/>
      <c r="B27" s="23"/>
      <c r="C27" s="18"/>
      <c r="D27" s="18"/>
      <c r="E27" s="18"/>
      <c r="F27" s="18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5.75" customHeight="1">
      <c r="A28" s="4"/>
      <c r="B28" s="23"/>
      <c r="C28" s="18"/>
      <c r="D28" s="18"/>
      <c r="E28" s="18"/>
      <c r="F28" s="18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5.75" customHeight="1">
      <c r="A29" s="4"/>
      <c r="B29" s="23"/>
      <c r="C29" s="18"/>
      <c r="D29" s="18"/>
      <c r="E29" s="18"/>
      <c r="F29" s="18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5.75" customHeight="1">
      <c r="A30" s="4"/>
      <c r="B30" s="23"/>
      <c r="C30" s="18"/>
      <c r="D30" s="18"/>
      <c r="E30" s="18"/>
      <c r="F30" s="18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5.75" customHeight="1">
      <c r="A31" s="4"/>
      <c r="B31" s="23"/>
      <c r="C31" s="18"/>
      <c r="D31" s="18"/>
      <c r="E31" s="18"/>
      <c r="F31" s="18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5.75" customHeight="1">
      <c r="A32" s="4"/>
      <c r="B32" s="23"/>
      <c r="C32" s="18"/>
      <c r="D32" s="18"/>
      <c r="E32" s="18"/>
      <c r="F32" s="18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5.75" customHeight="1">
      <c r="A33" s="4"/>
      <c r="B33" s="23"/>
      <c r="C33" s="18"/>
      <c r="D33" s="18"/>
      <c r="E33" s="18"/>
      <c r="F33" s="18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5.75" customHeight="1">
      <c r="A34" s="4"/>
      <c r="B34" s="23"/>
      <c r="C34" s="18"/>
      <c r="D34" s="18"/>
      <c r="E34" s="18"/>
      <c r="F34" s="18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5.75" customHeight="1">
      <c r="A35" s="4"/>
      <c r="B35" s="23"/>
      <c r="C35" s="18"/>
      <c r="D35" s="18"/>
      <c r="E35" s="18"/>
      <c r="F35" s="18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5.75" customHeight="1">
      <c r="A36" s="4"/>
      <c r="B36" s="23"/>
      <c r="C36" s="18"/>
      <c r="D36" s="18"/>
      <c r="E36" s="18"/>
      <c r="F36" s="18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5.75" customHeight="1">
      <c r="A37" s="4"/>
      <c r="B37" s="23"/>
      <c r="C37" s="18"/>
      <c r="D37" s="18"/>
      <c r="E37" s="18"/>
      <c r="F37" s="18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5.75" customHeight="1">
      <c r="A38" s="4"/>
      <c r="B38" s="23"/>
      <c r="C38" s="18"/>
      <c r="D38" s="18"/>
      <c r="E38" s="18"/>
      <c r="F38" s="18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5.75" customHeight="1">
      <c r="A39" s="4"/>
      <c r="B39" s="23"/>
      <c r="C39" s="18"/>
      <c r="D39" s="18"/>
      <c r="E39" s="18"/>
      <c r="F39" s="18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5.75" customHeight="1">
      <c r="A40" s="4"/>
      <c r="B40" s="23"/>
      <c r="C40" s="18"/>
      <c r="D40" s="18"/>
      <c r="E40" s="18"/>
      <c r="F40" s="18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5.75" customHeight="1">
      <c r="A41" s="4"/>
      <c r="B41" s="23"/>
      <c r="C41" s="18"/>
      <c r="D41" s="18"/>
      <c r="E41" s="18"/>
      <c r="F41" s="18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5.75" customHeight="1">
      <c r="A42" s="4"/>
      <c r="B42" s="23"/>
      <c r="C42" s="18"/>
      <c r="D42" s="18"/>
      <c r="E42" s="18"/>
      <c r="F42" s="18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5.75" customHeight="1">
      <c r="A43" s="4"/>
      <c r="B43" s="23"/>
      <c r="C43" s="18"/>
      <c r="D43" s="18"/>
      <c r="E43" s="18"/>
      <c r="F43" s="18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5.75" customHeight="1">
      <c r="A44" s="4"/>
      <c r="B44" s="23"/>
      <c r="C44" s="18"/>
      <c r="D44" s="18"/>
      <c r="E44" s="18"/>
      <c r="F44" s="18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5.75" customHeight="1">
      <c r="A45" s="4"/>
      <c r="B45" s="23"/>
      <c r="C45" s="18"/>
      <c r="D45" s="18"/>
      <c r="E45" s="18"/>
      <c r="F45" s="18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5.75" customHeight="1">
      <c r="A46" s="4"/>
      <c r="B46" s="23"/>
      <c r="C46" s="18"/>
      <c r="D46" s="18"/>
      <c r="E46" s="18"/>
      <c r="F46" s="18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5.75" customHeight="1">
      <c r="A47" s="4"/>
      <c r="B47" s="23"/>
      <c r="C47" s="18"/>
      <c r="D47" s="18"/>
      <c r="E47" s="18"/>
      <c r="F47" s="18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5.75" customHeight="1">
      <c r="A48" s="4"/>
      <c r="B48" s="23"/>
      <c r="C48" s="18"/>
      <c r="D48" s="18"/>
      <c r="E48" s="18"/>
      <c r="F48" s="18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5.75" customHeight="1">
      <c r="A49" s="4"/>
      <c r="B49" s="23"/>
      <c r="C49" s="18"/>
      <c r="D49" s="18"/>
      <c r="E49" s="18"/>
      <c r="F49" s="18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5.75" customHeight="1">
      <c r="A50" s="4"/>
      <c r="B50" s="23"/>
      <c r="C50" s="18"/>
      <c r="D50" s="18"/>
      <c r="E50" s="18"/>
      <c r="F50" s="18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5.75" customHeight="1">
      <c r="A51" s="4"/>
      <c r="B51" s="23"/>
      <c r="C51" s="18"/>
      <c r="D51" s="18"/>
      <c r="E51" s="18"/>
      <c r="F51" s="18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5.75" customHeight="1">
      <c r="A52" s="4"/>
      <c r="B52" s="23"/>
      <c r="C52" s="18"/>
      <c r="D52" s="18"/>
      <c r="E52" s="18"/>
      <c r="F52" s="18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5.75" customHeight="1">
      <c r="A53" s="4"/>
      <c r="B53" s="23"/>
      <c r="C53" s="18"/>
      <c r="D53" s="18"/>
      <c r="E53" s="18"/>
      <c r="F53" s="18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5.75" customHeight="1">
      <c r="A54" s="4"/>
      <c r="B54" s="23"/>
      <c r="C54" s="18"/>
      <c r="D54" s="18"/>
      <c r="E54" s="18"/>
      <c r="F54" s="18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5.75" customHeight="1">
      <c r="A55" s="4"/>
      <c r="B55" s="23"/>
      <c r="C55" s="18"/>
      <c r="D55" s="18"/>
      <c r="E55" s="18"/>
      <c r="F55" s="18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5.75" customHeight="1">
      <c r="A56" s="4"/>
      <c r="B56" s="23"/>
      <c r="C56" s="18"/>
      <c r="D56" s="18"/>
      <c r="E56" s="18"/>
      <c r="F56" s="18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5.75" customHeight="1">
      <c r="A57" s="4"/>
      <c r="B57" s="23"/>
      <c r="C57" s="18"/>
      <c r="D57" s="18"/>
      <c r="E57" s="18"/>
      <c r="F57" s="18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5.75" customHeight="1">
      <c r="A58" s="4"/>
      <c r="B58" s="23"/>
      <c r="C58" s="18"/>
      <c r="D58" s="18"/>
      <c r="E58" s="18"/>
      <c r="F58" s="18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5.75" customHeight="1">
      <c r="A59" s="4"/>
      <c r="B59" s="23"/>
      <c r="C59" s="18"/>
      <c r="D59" s="18"/>
      <c r="E59" s="18"/>
      <c r="F59" s="18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5.75" customHeight="1">
      <c r="A60" s="4"/>
      <c r="B60" s="23"/>
      <c r="C60" s="18"/>
      <c r="D60" s="18"/>
      <c r="E60" s="18"/>
      <c r="F60" s="18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5.75" customHeight="1">
      <c r="A61" s="4"/>
      <c r="B61" s="23"/>
      <c r="C61" s="18"/>
      <c r="D61" s="18"/>
      <c r="E61" s="18"/>
      <c r="F61" s="18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5.75" customHeight="1">
      <c r="A62" s="4"/>
      <c r="B62" s="23"/>
      <c r="C62" s="18"/>
      <c r="D62" s="18"/>
      <c r="E62" s="18"/>
      <c r="F62" s="18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5.75" customHeight="1">
      <c r="A63" s="4"/>
      <c r="B63" s="23"/>
      <c r="C63" s="18"/>
      <c r="D63" s="18"/>
      <c r="E63" s="18"/>
      <c r="F63" s="18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5.75" customHeight="1">
      <c r="A64" s="4"/>
      <c r="B64" s="23"/>
      <c r="C64" s="18"/>
      <c r="D64" s="18"/>
      <c r="E64" s="18"/>
      <c r="F64" s="18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5.75" customHeight="1">
      <c r="A65" s="4"/>
      <c r="B65" s="23"/>
      <c r="C65" s="18"/>
      <c r="D65" s="18"/>
      <c r="E65" s="18"/>
      <c r="F65" s="18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5.75" customHeight="1">
      <c r="A66" s="4"/>
      <c r="B66" s="23"/>
      <c r="C66" s="18"/>
      <c r="D66" s="18"/>
      <c r="E66" s="18"/>
      <c r="F66" s="18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5.75" customHeight="1">
      <c r="A67" s="4"/>
      <c r="B67" s="23"/>
      <c r="C67" s="18"/>
      <c r="D67" s="18"/>
      <c r="E67" s="18"/>
      <c r="F67" s="18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5.75" customHeight="1">
      <c r="A68" s="4"/>
      <c r="B68" s="23"/>
      <c r="C68" s="18"/>
      <c r="D68" s="18"/>
      <c r="E68" s="18"/>
      <c r="F68" s="18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5.75" customHeight="1">
      <c r="A69" s="4"/>
      <c r="B69" s="23"/>
      <c r="C69" s="18"/>
      <c r="D69" s="18"/>
      <c r="E69" s="18"/>
      <c r="F69" s="18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5.75" customHeight="1">
      <c r="A70" s="4"/>
      <c r="B70" s="23"/>
      <c r="C70" s="18"/>
      <c r="D70" s="18"/>
      <c r="E70" s="18"/>
      <c r="F70" s="18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5.75" customHeight="1">
      <c r="A71" s="4"/>
      <c r="B71" s="23"/>
      <c r="C71" s="18"/>
      <c r="D71" s="18"/>
      <c r="E71" s="18"/>
      <c r="F71" s="18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5.75" customHeight="1">
      <c r="A72" s="4"/>
      <c r="B72" s="23"/>
      <c r="C72" s="18"/>
      <c r="D72" s="18"/>
      <c r="E72" s="18"/>
      <c r="F72" s="18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5.75" customHeight="1">
      <c r="A73" s="4"/>
      <c r="B73" s="23"/>
      <c r="C73" s="18"/>
      <c r="D73" s="18"/>
      <c r="E73" s="18"/>
      <c r="F73" s="18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5.75" customHeight="1">
      <c r="A74" s="4"/>
      <c r="B74" s="23"/>
      <c r="C74" s="18"/>
      <c r="D74" s="18"/>
      <c r="E74" s="18"/>
      <c r="F74" s="18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5.75" customHeight="1">
      <c r="A75" s="4"/>
      <c r="B75" s="23"/>
      <c r="C75" s="18"/>
      <c r="D75" s="18"/>
      <c r="E75" s="18"/>
      <c r="F75" s="18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5.75" customHeight="1">
      <c r="A76" s="4"/>
      <c r="B76" s="23"/>
      <c r="C76" s="18"/>
      <c r="D76" s="18"/>
      <c r="E76" s="18"/>
      <c r="F76" s="18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5.75" customHeight="1">
      <c r="A77" s="4"/>
      <c r="B77" s="23"/>
      <c r="C77" s="18"/>
      <c r="D77" s="18"/>
      <c r="E77" s="18"/>
      <c r="F77" s="18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5.75" customHeight="1">
      <c r="A78" s="4"/>
      <c r="B78" s="23"/>
      <c r="C78" s="18"/>
      <c r="D78" s="18"/>
      <c r="E78" s="18"/>
      <c r="F78" s="18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5.75" customHeight="1">
      <c r="A79" s="4"/>
      <c r="B79" s="23"/>
      <c r="C79" s="18"/>
      <c r="D79" s="18"/>
      <c r="E79" s="18"/>
      <c r="F79" s="18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5.75" customHeight="1">
      <c r="A80" s="4"/>
      <c r="B80" s="23"/>
      <c r="C80" s="18"/>
      <c r="D80" s="18"/>
      <c r="E80" s="18"/>
      <c r="F80" s="18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5.75" customHeight="1">
      <c r="A81" s="4"/>
      <c r="B81" s="23"/>
      <c r="C81" s="18"/>
      <c r="D81" s="18"/>
      <c r="E81" s="18"/>
      <c r="F81" s="18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5.75" customHeight="1">
      <c r="A82" s="4"/>
      <c r="B82" s="23"/>
      <c r="C82" s="18"/>
      <c r="D82" s="18"/>
      <c r="E82" s="18"/>
      <c r="F82" s="18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5.75" customHeight="1">
      <c r="A83" s="4"/>
      <c r="B83" s="23"/>
      <c r="C83" s="18"/>
      <c r="D83" s="18"/>
      <c r="E83" s="18"/>
      <c r="F83" s="18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5.75" customHeight="1">
      <c r="A84" s="4"/>
      <c r="B84" s="23"/>
      <c r="C84" s="18"/>
      <c r="D84" s="18"/>
      <c r="E84" s="18"/>
      <c r="F84" s="18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5.75" customHeight="1">
      <c r="A85" s="4"/>
      <c r="B85" s="23"/>
      <c r="C85" s="18"/>
      <c r="D85" s="18"/>
      <c r="E85" s="18"/>
      <c r="F85" s="18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5.75" customHeight="1">
      <c r="A86" s="4"/>
      <c r="B86" s="23"/>
      <c r="C86" s="18"/>
      <c r="D86" s="18"/>
      <c r="E86" s="18"/>
      <c r="F86" s="18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5.75" customHeight="1">
      <c r="A87" s="4"/>
      <c r="B87" s="23"/>
      <c r="C87" s="18"/>
      <c r="D87" s="18"/>
      <c r="E87" s="18"/>
      <c r="F87" s="18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5.75" customHeight="1">
      <c r="A88" s="4"/>
      <c r="B88" s="23"/>
      <c r="C88" s="18"/>
      <c r="D88" s="18"/>
      <c r="E88" s="18"/>
      <c r="F88" s="18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5.75" customHeight="1">
      <c r="A89" s="4"/>
      <c r="B89" s="23"/>
      <c r="C89" s="18"/>
      <c r="D89" s="18"/>
      <c r="E89" s="18"/>
      <c r="F89" s="18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5.75" customHeight="1">
      <c r="A90" s="4"/>
      <c r="B90" s="23"/>
      <c r="C90" s="18"/>
      <c r="D90" s="18"/>
      <c r="E90" s="18"/>
      <c r="F90" s="18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5.75" customHeight="1">
      <c r="A91" s="4"/>
      <c r="B91" s="23"/>
      <c r="C91" s="18"/>
      <c r="D91" s="18"/>
      <c r="E91" s="18"/>
      <c r="F91" s="18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5.75" customHeight="1">
      <c r="A92" s="4"/>
      <c r="B92" s="23"/>
      <c r="C92" s="18"/>
      <c r="D92" s="18"/>
      <c r="E92" s="18"/>
      <c r="F92" s="18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5.75" customHeight="1">
      <c r="A93" s="4"/>
      <c r="B93" s="23"/>
      <c r="C93" s="18"/>
      <c r="D93" s="18"/>
      <c r="E93" s="18"/>
      <c r="F93" s="18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5.75" customHeight="1">
      <c r="A94" s="4"/>
      <c r="B94" s="23"/>
      <c r="C94" s="18"/>
      <c r="D94" s="18"/>
      <c r="E94" s="18"/>
      <c r="F94" s="18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5.75" customHeight="1">
      <c r="A95" s="4"/>
      <c r="B95" s="23"/>
      <c r="C95" s="18"/>
      <c r="D95" s="18"/>
      <c r="E95" s="18"/>
      <c r="F95" s="18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5.75" customHeight="1">
      <c r="A96" s="4"/>
      <c r="B96" s="23"/>
      <c r="C96" s="18"/>
      <c r="D96" s="18"/>
      <c r="E96" s="18"/>
      <c r="F96" s="18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5.75" customHeight="1">
      <c r="A97" s="4"/>
      <c r="B97" s="23"/>
      <c r="C97" s="18"/>
      <c r="D97" s="18"/>
      <c r="E97" s="18"/>
      <c r="F97" s="18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5.75" customHeight="1">
      <c r="A98" s="4"/>
      <c r="B98" s="23"/>
      <c r="C98" s="18"/>
      <c r="D98" s="18"/>
      <c r="E98" s="18"/>
      <c r="F98" s="18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5.75" customHeight="1">
      <c r="A99" s="4"/>
      <c r="B99" s="23"/>
      <c r="C99" s="18"/>
      <c r="D99" s="18"/>
      <c r="E99" s="18"/>
      <c r="F99" s="18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5.75" customHeight="1">
      <c r="A100" s="4"/>
      <c r="B100" s="23"/>
      <c r="C100" s="18"/>
      <c r="D100" s="18"/>
      <c r="E100" s="18"/>
      <c r="F100" s="18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5.75" customHeight="1">
      <c r="A101" s="4"/>
      <c r="B101" s="23"/>
      <c r="C101" s="18"/>
      <c r="D101" s="18"/>
      <c r="E101" s="18"/>
      <c r="F101" s="18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5.75" customHeight="1">
      <c r="A102" s="4"/>
      <c r="B102" s="23"/>
      <c r="C102" s="18"/>
      <c r="D102" s="18"/>
      <c r="E102" s="18"/>
      <c r="F102" s="18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5.75" customHeight="1">
      <c r="A103" s="4"/>
      <c r="B103" s="23"/>
      <c r="C103" s="18"/>
      <c r="D103" s="18"/>
      <c r="E103" s="18"/>
      <c r="F103" s="18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5.75" customHeight="1">
      <c r="A104" s="4"/>
      <c r="B104" s="23"/>
      <c r="C104" s="18"/>
      <c r="D104" s="18"/>
      <c r="E104" s="18"/>
      <c r="F104" s="18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5.75" customHeight="1">
      <c r="A105" s="4"/>
      <c r="B105" s="23"/>
      <c r="C105" s="18"/>
      <c r="D105" s="18"/>
      <c r="E105" s="18"/>
      <c r="F105" s="18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5.75" customHeight="1">
      <c r="A106" s="4"/>
      <c r="B106" s="23"/>
      <c r="C106" s="18"/>
      <c r="D106" s="18"/>
      <c r="E106" s="18"/>
      <c r="F106" s="18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5.75" customHeight="1">
      <c r="A107" s="4"/>
      <c r="B107" s="23"/>
      <c r="C107" s="18"/>
      <c r="D107" s="18"/>
      <c r="E107" s="18"/>
      <c r="F107" s="18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5.75" customHeight="1">
      <c r="A108" s="4"/>
      <c r="B108" s="23"/>
      <c r="C108" s="18"/>
      <c r="D108" s="18"/>
      <c r="E108" s="18"/>
      <c r="F108" s="18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5.75" customHeight="1">
      <c r="A109" s="4"/>
      <c r="B109" s="23"/>
      <c r="C109" s="18"/>
      <c r="D109" s="18"/>
      <c r="E109" s="18"/>
      <c r="F109" s="18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5.75" customHeight="1">
      <c r="A110" s="4"/>
      <c r="B110" s="23"/>
      <c r="C110" s="18"/>
      <c r="D110" s="18"/>
      <c r="E110" s="18"/>
      <c r="F110" s="18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5.75" customHeight="1">
      <c r="A111" s="4"/>
      <c r="B111" s="23"/>
      <c r="C111" s="18"/>
      <c r="D111" s="18"/>
      <c r="E111" s="18"/>
      <c r="F111" s="18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5.75" customHeight="1">
      <c r="A112" s="4"/>
      <c r="B112" s="23"/>
      <c r="C112" s="18"/>
      <c r="D112" s="18"/>
      <c r="E112" s="18"/>
      <c r="F112" s="18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5.75" customHeight="1">
      <c r="A113" s="4"/>
      <c r="B113" s="23"/>
      <c r="C113" s="18"/>
      <c r="D113" s="18"/>
      <c r="E113" s="18"/>
      <c r="F113" s="18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5.75" customHeight="1">
      <c r="A114" s="4"/>
      <c r="B114" s="23"/>
      <c r="C114" s="18"/>
      <c r="D114" s="18"/>
      <c r="E114" s="18"/>
      <c r="F114" s="18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5.75" customHeight="1">
      <c r="A115" s="4"/>
      <c r="B115" s="23"/>
      <c r="C115" s="18"/>
      <c r="D115" s="18"/>
      <c r="E115" s="18"/>
      <c r="F115" s="18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5.75" customHeight="1">
      <c r="A116" s="4"/>
      <c r="B116" s="23"/>
      <c r="C116" s="18"/>
      <c r="D116" s="18"/>
      <c r="E116" s="18"/>
      <c r="F116" s="18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5.75" customHeight="1">
      <c r="A117" s="4"/>
      <c r="B117" s="23"/>
      <c r="C117" s="18"/>
      <c r="D117" s="18"/>
      <c r="E117" s="18"/>
      <c r="F117" s="18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5.75" customHeight="1">
      <c r="A118" s="4"/>
      <c r="B118" s="23"/>
      <c r="C118" s="18"/>
      <c r="D118" s="18"/>
      <c r="E118" s="18"/>
      <c r="F118" s="18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5.75" customHeight="1">
      <c r="A119" s="4"/>
      <c r="B119" s="23"/>
      <c r="C119" s="18"/>
      <c r="D119" s="18"/>
      <c r="E119" s="18"/>
      <c r="F119" s="18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5.75" customHeight="1">
      <c r="A120" s="4"/>
      <c r="B120" s="23"/>
      <c r="C120" s="18"/>
      <c r="D120" s="18"/>
      <c r="E120" s="18"/>
      <c r="F120" s="18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5.75" customHeight="1">
      <c r="A121" s="4"/>
      <c r="B121" s="23"/>
      <c r="C121" s="18"/>
      <c r="D121" s="18"/>
      <c r="E121" s="18"/>
      <c r="F121" s="18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5.75" customHeight="1">
      <c r="A122" s="4"/>
      <c r="B122" s="23"/>
      <c r="C122" s="18"/>
      <c r="D122" s="18"/>
      <c r="E122" s="18"/>
      <c r="F122" s="18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5.75" customHeight="1">
      <c r="A123" s="4"/>
      <c r="B123" s="23"/>
      <c r="C123" s="18"/>
      <c r="D123" s="18"/>
      <c r="E123" s="18"/>
      <c r="F123" s="18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5.75" customHeight="1">
      <c r="A124" s="4"/>
      <c r="B124" s="23"/>
      <c r="C124" s="18"/>
      <c r="D124" s="18"/>
      <c r="E124" s="18"/>
      <c r="F124" s="18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5.75" customHeight="1">
      <c r="A125" s="4"/>
      <c r="B125" s="23"/>
      <c r="C125" s="18"/>
      <c r="D125" s="18"/>
      <c r="E125" s="18"/>
      <c r="F125" s="18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5.75" customHeight="1">
      <c r="A126" s="4"/>
      <c r="B126" s="23"/>
      <c r="C126" s="18"/>
      <c r="D126" s="18"/>
      <c r="E126" s="18"/>
      <c r="F126" s="18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5.75" customHeight="1">
      <c r="A127" s="4"/>
      <c r="B127" s="23"/>
      <c r="C127" s="18"/>
      <c r="D127" s="18"/>
      <c r="E127" s="18"/>
      <c r="F127" s="18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5.75" customHeight="1">
      <c r="A128" s="4"/>
      <c r="B128" s="23"/>
      <c r="C128" s="18"/>
      <c r="D128" s="18"/>
      <c r="E128" s="18"/>
      <c r="F128" s="18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5.75" customHeight="1">
      <c r="A129" s="4"/>
      <c r="B129" s="23"/>
      <c r="C129" s="18"/>
      <c r="D129" s="18"/>
      <c r="E129" s="18"/>
      <c r="F129" s="18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5.75" customHeight="1">
      <c r="A130" s="4"/>
      <c r="B130" s="23"/>
      <c r="C130" s="18"/>
      <c r="D130" s="18"/>
      <c r="E130" s="18"/>
      <c r="F130" s="18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5.75" customHeight="1">
      <c r="A131" s="4"/>
      <c r="B131" s="23"/>
      <c r="C131" s="18"/>
      <c r="D131" s="18"/>
      <c r="E131" s="18"/>
      <c r="F131" s="18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5.75" customHeight="1">
      <c r="A132" s="4"/>
      <c r="B132" s="23"/>
      <c r="C132" s="18"/>
      <c r="D132" s="18"/>
      <c r="E132" s="18"/>
      <c r="F132" s="18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5.75" customHeight="1">
      <c r="A133" s="4"/>
      <c r="B133" s="23"/>
      <c r="C133" s="18"/>
      <c r="D133" s="18"/>
      <c r="E133" s="18"/>
      <c r="F133" s="18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5.75" customHeight="1">
      <c r="A134" s="4"/>
      <c r="B134" s="23"/>
      <c r="C134" s="18"/>
      <c r="D134" s="18"/>
      <c r="E134" s="18"/>
      <c r="F134" s="18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5.75" customHeight="1">
      <c r="A135" s="4"/>
      <c r="B135" s="23"/>
      <c r="C135" s="18"/>
      <c r="D135" s="18"/>
      <c r="E135" s="18"/>
      <c r="F135" s="18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5.75" customHeight="1">
      <c r="A136" s="4"/>
      <c r="B136" s="23"/>
      <c r="C136" s="18"/>
      <c r="D136" s="18"/>
      <c r="E136" s="18"/>
      <c r="F136" s="18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5.75" customHeight="1">
      <c r="A137" s="4"/>
      <c r="B137" s="23"/>
      <c r="C137" s="18"/>
      <c r="D137" s="18"/>
      <c r="E137" s="18"/>
      <c r="F137" s="18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5.75" customHeight="1">
      <c r="A138" s="4"/>
      <c r="B138" s="23"/>
      <c r="C138" s="18"/>
      <c r="D138" s="18"/>
      <c r="E138" s="18"/>
      <c r="F138" s="18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5.75" customHeight="1">
      <c r="A139" s="4"/>
      <c r="B139" s="23"/>
      <c r="C139" s="18"/>
      <c r="D139" s="18"/>
      <c r="E139" s="18"/>
      <c r="F139" s="18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5.75" customHeight="1">
      <c r="A140" s="4"/>
      <c r="B140" s="23"/>
      <c r="C140" s="18"/>
      <c r="D140" s="18"/>
      <c r="E140" s="18"/>
      <c r="F140" s="18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5.75" customHeight="1">
      <c r="A141" s="4"/>
      <c r="B141" s="23"/>
      <c r="C141" s="18"/>
      <c r="D141" s="18"/>
      <c r="E141" s="18"/>
      <c r="F141" s="18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5.75" customHeight="1">
      <c r="A142" s="4"/>
      <c r="B142" s="23"/>
      <c r="C142" s="18"/>
      <c r="D142" s="18"/>
      <c r="E142" s="18"/>
      <c r="F142" s="18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5.75" customHeight="1">
      <c r="A143" s="4"/>
      <c r="B143" s="23"/>
      <c r="C143" s="18"/>
      <c r="D143" s="18"/>
      <c r="E143" s="18"/>
      <c r="F143" s="18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5.75" customHeight="1">
      <c r="A144" s="4"/>
      <c r="B144" s="23"/>
      <c r="C144" s="18"/>
      <c r="D144" s="18"/>
      <c r="E144" s="18"/>
      <c r="F144" s="18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5.75" customHeight="1">
      <c r="A145" s="4"/>
      <c r="B145" s="23"/>
      <c r="C145" s="18"/>
      <c r="D145" s="18"/>
      <c r="E145" s="18"/>
      <c r="F145" s="18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5.75" customHeight="1">
      <c r="A146" s="4"/>
      <c r="B146" s="23"/>
      <c r="C146" s="18"/>
      <c r="D146" s="18"/>
      <c r="E146" s="18"/>
      <c r="F146" s="18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5.75" customHeight="1">
      <c r="A147" s="4"/>
      <c r="B147" s="23"/>
      <c r="C147" s="18"/>
      <c r="D147" s="18"/>
      <c r="E147" s="18"/>
      <c r="F147" s="18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5.75" customHeight="1">
      <c r="A148" s="4"/>
      <c r="B148" s="23"/>
      <c r="C148" s="18"/>
      <c r="D148" s="18"/>
      <c r="E148" s="18"/>
      <c r="F148" s="18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5.75" customHeight="1">
      <c r="A149" s="4"/>
      <c r="B149" s="23"/>
      <c r="C149" s="18"/>
      <c r="D149" s="18"/>
      <c r="E149" s="18"/>
      <c r="F149" s="18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5.75" customHeight="1">
      <c r="A150" s="4"/>
      <c r="B150" s="23"/>
      <c r="C150" s="18"/>
      <c r="D150" s="18"/>
      <c r="E150" s="18"/>
      <c r="F150" s="18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5.75" customHeight="1">
      <c r="A151" s="4"/>
      <c r="B151" s="23"/>
      <c r="C151" s="18"/>
      <c r="D151" s="18"/>
      <c r="E151" s="18"/>
      <c r="F151" s="18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5.75" customHeight="1">
      <c r="A152" s="4"/>
      <c r="B152" s="23"/>
      <c r="C152" s="18"/>
      <c r="D152" s="18"/>
      <c r="E152" s="18"/>
      <c r="F152" s="18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5.75" customHeight="1">
      <c r="A153" s="4"/>
      <c r="B153" s="23"/>
      <c r="C153" s="18"/>
      <c r="D153" s="18"/>
      <c r="E153" s="18"/>
      <c r="F153" s="18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5.75" customHeight="1">
      <c r="A154" s="4"/>
      <c r="B154" s="23"/>
      <c r="C154" s="18"/>
      <c r="D154" s="18"/>
      <c r="E154" s="18"/>
      <c r="F154" s="18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5.75" customHeight="1">
      <c r="A155" s="4"/>
      <c r="B155" s="23"/>
      <c r="C155" s="18"/>
      <c r="D155" s="18"/>
      <c r="E155" s="18"/>
      <c r="F155" s="18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5.75" customHeight="1">
      <c r="A156" s="4"/>
      <c r="B156" s="23"/>
      <c r="C156" s="18"/>
      <c r="D156" s="18"/>
      <c r="E156" s="18"/>
      <c r="F156" s="18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5.75" customHeight="1">
      <c r="A157" s="4"/>
      <c r="B157" s="23"/>
      <c r="C157" s="18"/>
      <c r="D157" s="18"/>
      <c r="E157" s="18"/>
      <c r="F157" s="18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5.75" customHeight="1">
      <c r="A158" s="4"/>
      <c r="B158" s="23"/>
      <c r="C158" s="18"/>
      <c r="D158" s="18"/>
      <c r="E158" s="18"/>
      <c r="F158" s="18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5.75" customHeight="1">
      <c r="A159" s="4"/>
      <c r="B159" s="23"/>
      <c r="C159" s="18"/>
      <c r="D159" s="18"/>
      <c r="E159" s="18"/>
      <c r="F159" s="18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5.75" customHeight="1">
      <c r="A160" s="4"/>
      <c r="B160" s="23"/>
      <c r="C160" s="18"/>
      <c r="D160" s="18"/>
      <c r="E160" s="18"/>
      <c r="F160" s="18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5.75" customHeight="1">
      <c r="A161" s="4"/>
      <c r="B161" s="23"/>
      <c r="C161" s="18"/>
      <c r="D161" s="18"/>
      <c r="E161" s="18"/>
      <c r="F161" s="18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5.75" customHeight="1">
      <c r="A162" s="4"/>
      <c r="B162" s="23"/>
      <c r="C162" s="18"/>
      <c r="D162" s="18"/>
      <c r="E162" s="18"/>
      <c r="F162" s="18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5.75" customHeight="1">
      <c r="A163" s="4"/>
      <c r="B163" s="23"/>
      <c r="C163" s="18"/>
      <c r="D163" s="18"/>
      <c r="E163" s="18"/>
      <c r="F163" s="18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5.75" customHeight="1">
      <c r="A164" s="4"/>
      <c r="B164" s="23"/>
      <c r="C164" s="18"/>
      <c r="D164" s="18"/>
      <c r="E164" s="18"/>
      <c r="F164" s="18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5.75" customHeight="1">
      <c r="A165" s="4"/>
      <c r="B165" s="23"/>
      <c r="C165" s="18"/>
      <c r="D165" s="18"/>
      <c r="E165" s="18"/>
      <c r="F165" s="18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5.75" customHeight="1">
      <c r="A166" s="4"/>
      <c r="B166" s="23"/>
      <c r="C166" s="18"/>
      <c r="D166" s="18"/>
      <c r="E166" s="18"/>
      <c r="F166" s="18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5.75" customHeight="1">
      <c r="A167" s="4"/>
      <c r="B167" s="23"/>
      <c r="C167" s="18"/>
      <c r="D167" s="18"/>
      <c r="E167" s="18"/>
      <c r="F167" s="18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5.75" customHeight="1">
      <c r="A168" s="4"/>
      <c r="B168" s="23"/>
      <c r="C168" s="18"/>
      <c r="D168" s="18"/>
      <c r="E168" s="18"/>
      <c r="F168" s="18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5.75" customHeight="1">
      <c r="A169" s="4"/>
      <c r="B169" s="23"/>
      <c r="C169" s="18"/>
      <c r="D169" s="18"/>
      <c r="E169" s="18"/>
      <c r="F169" s="18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5.75" customHeight="1">
      <c r="A170" s="4"/>
      <c r="B170" s="23"/>
      <c r="C170" s="18"/>
      <c r="D170" s="18"/>
      <c r="E170" s="18"/>
      <c r="F170" s="18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5.75" customHeight="1">
      <c r="A171" s="4"/>
      <c r="B171" s="23"/>
      <c r="C171" s="18"/>
      <c r="D171" s="18"/>
      <c r="E171" s="18"/>
      <c r="F171" s="18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5.75" customHeight="1">
      <c r="A172" s="4"/>
      <c r="B172" s="23"/>
      <c r="C172" s="18"/>
      <c r="D172" s="18"/>
      <c r="E172" s="18"/>
      <c r="F172" s="18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5.75" customHeight="1">
      <c r="A173" s="4"/>
      <c r="B173" s="23"/>
      <c r="C173" s="18"/>
      <c r="D173" s="18"/>
      <c r="E173" s="18"/>
      <c r="F173" s="18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5.75" customHeight="1">
      <c r="A174" s="4"/>
      <c r="B174" s="23"/>
      <c r="C174" s="18"/>
      <c r="D174" s="18"/>
      <c r="E174" s="18"/>
      <c r="F174" s="18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5.75" customHeight="1">
      <c r="A175" s="4"/>
      <c r="B175" s="23"/>
      <c r="C175" s="18"/>
      <c r="D175" s="18"/>
      <c r="E175" s="18"/>
      <c r="F175" s="18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5.75" customHeight="1">
      <c r="A176" s="4"/>
      <c r="B176" s="23"/>
      <c r="C176" s="18"/>
      <c r="D176" s="18"/>
      <c r="E176" s="18"/>
      <c r="F176" s="18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5.75" customHeight="1">
      <c r="A177" s="4"/>
      <c r="B177" s="23"/>
      <c r="C177" s="18"/>
      <c r="D177" s="18"/>
      <c r="E177" s="18"/>
      <c r="F177" s="18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5.75" customHeight="1">
      <c r="A178" s="4"/>
      <c r="B178" s="23"/>
      <c r="C178" s="18"/>
      <c r="D178" s="18"/>
      <c r="E178" s="18"/>
      <c r="F178" s="18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5.75" customHeight="1">
      <c r="A179" s="4"/>
      <c r="B179" s="23"/>
      <c r="C179" s="18"/>
      <c r="D179" s="18"/>
      <c r="E179" s="18"/>
      <c r="F179" s="18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5.75" customHeight="1">
      <c r="A180" s="4"/>
      <c r="B180" s="23"/>
      <c r="C180" s="18"/>
      <c r="D180" s="18"/>
      <c r="E180" s="18"/>
      <c r="F180" s="18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5.75" customHeight="1">
      <c r="A181" s="4"/>
      <c r="B181" s="23"/>
      <c r="C181" s="18"/>
      <c r="D181" s="18"/>
      <c r="E181" s="18"/>
      <c r="F181" s="18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5.75" customHeight="1">
      <c r="A182" s="4"/>
      <c r="B182" s="23"/>
      <c r="C182" s="18"/>
      <c r="D182" s="18"/>
      <c r="E182" s="18"/>
      <c r="F182" s="18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5.75" customHeight="1">
      <c r="A183" s="4"/>
      <c r="B183" s="23"/>
      <c r="C183" s="18"/>
      <c r="D183" s="18"/>
      <c r="E183" s="18"/>
      <c r="F183" s="18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5.75" customHeight="1">
      <c r="A184" s="4"/>
      <c r="B184" s="23"/>
      <c r="C184" s="18"/>
      <c r="D184" s="18"/>
      <c r="E184" s="18"/>
      <c r="F184" s="18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5.75" customHeight="1">
      <c r="A185" s="4"/>
      <c r="B185" s="23"/>
      <c r="C185" s="18"/>
      <c r="D185" s="18"/>
      <c r="E185" s="18"/>
      <c r="F185" s="18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5.75" customHeight="1">
      <c r="A186" s="4"/>
      <c r="B186" s="23"/>
      <c r="C186" s="18"/>
      <c r="D186" s="18"/>
      <c r="E186" s="18"/>
      <c r="F186" s="18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5.75" customHeight="1">
      <c r="A187" s="4"/>
      <c r="B187" s="23"/>
      <c r="C187" s="18"/>
      <c r="D187" s="18"/>
      <c r="E187" s="18"/>
      <c r="F187" s="18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5.75" customHeight="1">
      <c r="A188" s="4"/>
      <c r="B188" s="23"/>
      <c r="C188" s="18"/>
      <c r="D188" s="18"/>
      <c r="E188" s="18"/>
      <c r="F188" s="18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5.75" customHeight="1">
      <c r="A189" s="4"/>
      <c r="B189" s="23"/>
      <c r="C189" s="18"/>
      <c r="D189" s="18"/>
      <c r="E189" s="18"/>
      <c r="F189" s="18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5.75" customHeight="1">
      <c r="A190" s="4"/>
      <c r="B190" s="23"/>
      <c r="C190" s="18"/>
      <c r="D190" s="18"/>
      <c r="E190" s="18"/>
      <c r="F190" s="18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5.75" customHeight="1">
      <c r="A191" s="4"/>
      <c r="B191" s="23"/>
      <c r="C191" s="18"/>
      <c r="D191" s="18"/>
      <c r="E191" s="18"/>
      <c r="F191" s="18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5.75" customHeight="1">
      <c r="A192" s="4"/>
      <c r="B192" s="23"/>
      <c r="C192" s="18"/>
      <c r="D192" s="18"/>
      <c r="E192" s="18"/>
      <c r="F192" s="18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5.75" customHeight="1">
      <c r="A193" s="4"/>
      <c r="B193" s="23"/>
      <c r="C193" s="18"/>
      <c r="D193" s="18"/>
      <c r="E193" s="18"/>
      <c r="F193" s="18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5.75" customHeight="1">
      <c r="A194" s="4"/>
      <c r="B194" s="23"/>
      <c r="C194" s="18"/>
      <c r="D194" s="18"/>
      <c r="E194" s="18"/>
      <c r="F194" s="18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5.75" customHeight="1">
      <c r="A195" s="4"/>
      <c r="B195" s="23"/>
      <c r="C195" s="18"/>
      <c r="D195" s="18"/>
      <c r="E195" s="18"/>
      <c r="F195" s="18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5.75" customHeight="1">
      <c r="A196" s="4"/>
      <c r="B196" s="23"/>
      <c r="C196" s="18"/>
      <c r="D196" s="18"/>
      <c r="E196" s="18"/>
      <c r="F196" s="18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5.75" customHeight="1">
      <c r="A197" s="4"/>
      <c r="B197" s="23"/>
      <c r="C197" s="18"/>
      <c r="D197" s="18"/>
      <c r="E197" s="18"/>
      <c r="F197" s="18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5.75" customHeight="1">
      <c r="A198" s="4"/>
      <c r="B198" s="23"/>
      <c r="C198" s="18"/>
      <c r="D198" s="18"/>
      <c r="E198" s="18"/>
      <c r="F198" s="18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5.75" customHeight="1">
      <c r="A199" s="4"/>
      <c r="B199" s="23"/>
      <c r="C199" s="18"/>
      <c r="D199" s="18"/>
      <c r="E199" s="18"/>
      <c r="F199" s="18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5.75" customHeight="1">
      <c r="A200" s="4"/>
      <c r="B200" s="23"/>
      <c r="C200" s="18"/>
      <c r="D200" s="18"/>
      <c r="E200" s="18"/>
      <c r="F200" s="18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5.75" customHeight="1">
      <c r="A201" s="4"/>
      <c r="B201" s="23"/>
      <c r="C201" s="18"/>
      <c r="D201" s="18"/>
      <c r="E201" s="18"/>
      <c r="F201" s="18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5.75" customHeight="1">
      <c r="A202" s="4"/>
      <c r="B202" s="23"/>
      <c r="C202" s="18"/>
      <c r="D202" s="18"/>
      <c r="E202" s="18"/>
      <c r="F202" s="18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5.75" customHeight="1">
      <c r="A203" s="4"/>
      <c r="B203" s="23"/>
      <c r="C203" s="18"/>
      <c r="D203" s="18"/>
      <c r="E203" s="18"/>
      <c r="F203" s="18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5.75" customHeight="1">
      <c r="A204" s="4"/>
      <c r="B204" s="23"/>
      <c r="C204" s="18"/>
      <c r="D204" s="18"/>
      <c r="E204" s="18"/>
      <c r="F204" s="18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5.75" customHeight="1">
      <c r="A205" s="4"/>
      <c r="B205" s="23"/>
      <c r="C205" s="18"/>
      <c r="D205" s="18"/>
      <c r="E205" s="18"/>
      <c r="F205" s="18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5.75" customHeight="1">
      <c r="A206" s="4"/>
      <c r="B206" s="23"/>
      <c r="C206" s="18"/>
      <c r="D206" s="18"/>
      <c r="E206" s="18"/>
      <c r="F206" s="18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5.75" customHeight="1">
      <c r="A207" s="4"/>
      <c r="B207" s="23"/>
      <c r="C207" s="18"/>
      <c r="D207" s="18"/>
      <c r="E207" s="18"/>
      <c r="F207" s="18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5.75" customHeight="1">
      <c r="A208" s="4"/>
      <c r="B208" s="23"/>
      <c r="C208" s="18"/>
      <c r="D208" s="18"/>
      <c r="E208" s="18"/>
      <c r="F208" s="18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5.75" customHeight="1">
      <c r="A209" s="4"/>
      <c r="B209" s="23"/>
      <c r="C209" s="18"/>
      <c r="D209" s="18"/>
      <c r="E209" s="18"/>
      <c r="F209" s="18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5.75" customHeight="1">
      <c r="A210" s="4"/>
      <c r="B210" s="23"/>
      <c r="C210" s="18"/>
      <c r="D210" s="18"/>
      <c r="E210" s="18"/>
      <c r="F210" s="18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5.75" customHeight="1">
      <c r="A211" s="4"/>
      <c r="B211" s="23"/>
      <c r="C211" s="18"/>
      <c r="D211" s="18"/>
      <c r="E211" s="18"/>
      <c r="F211" s="18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5.75" customHeight="1">
      <c r="A212" s="4"/>
      <c r="B212" s="23"/>
      <c r="C212" s="18"/>
      <c r="D212" s="18"/>
      <c r="E212" s="18"/>
      <c r="F212" s="18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5.75" customHeight="1">
      <c r="A213" s="4"/>
      <c r="B213" s="23"/>
      <c r="C213" s="18"/>
      <c r="D213" s="18"/>
      <c r="E213" s="18"/>
      <c r="F213" s="18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5.75" customHeight="1">
      <c r="A214" s="4"/>
      <c r="B214" s="23"/>
      <c r="C214" s="18"/>
      <c r="D214" s="18"/>
      <c r="E214" s="18"/>
      <c r="F214" s="18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5.75" customHeight="1">
      <c r="A215" s="4"/>
      <c r="B215" s="23"/>
      <c r="C215" s="18"/>
      <c r="D215" s="18"/>
      <c r="E215" s="18"/>
      <c r="F215" s="18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5.75" customHeight="1">
      <c r="A216" s="4"/>
      <c r="B216" s="23"/>
      <c r="C216" s="18"/>
      <c r="D216" s="18"/>
      <c r="E216" s="18"/>
      <c r="F216" s="18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5.75" customHeight="1">
      <c r="A217" s="4"/>
      <c r="B217" s="23"/>
      <c r="C217" s="18"/>
      <c r="D217" s="18"/>
      <c r="E217" s="18"/>
      <c r="F217" s="18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5.75" customHeight="1">
      <c r="A218" s="4"/>
      <c r="B218" s="23"/>
      <c r="C218" s="18"/>
      <c r="D218" s="18"/>
      <c r="E218" s="18"/>
      <c r="F218" s="18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5.75" customHeight="1">
      <c r="A219" s="4"/>
      <c r="B219" s="23"/>
      <c r="C219" s="18"/>
      <c r="D219" s="18"/>
      <c r="E219" s="18"/>
      <c r="F219" s="18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5.75" customHeight="1">
      <c r="A220" s="4"/>
      <c r="B220" s="23"/>
      <c r="C220" s="18"/>
      <c r="D220" s="18"/>
      <c r="E220" s="18"/>
      <c r="F220" s="18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5.75" customHeight="1">
      <c r="A221" s="4"/>
      <c r="B221" s="23"/>
      <c r="C221" s="18"/>
      <c r="D221" s="18"/>
      <c r="E221" s="18"/>
      <c r="F221" s="18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5.75" customHeight="1">
      <c r="A222" s="4"/>
      <c r="B222" s="23"/>
      <c r="C222" s="18"/>
      <c r="D222" s="18"/>
      <c r="E222" s="18"/>
      <c r="F222" s="18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5.75" customHeight="1">
      <c r="A223" s="4"/>
      <c r="B223" s="23"/>
      <c r="C223" s="18"/>
      <c r="D223" s="18"/>
      <c r="E223" s="18"/>
      <c r="F223" s="18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5.75" customHeight="1">
      <c r="A224" s="4"/>
      <c r="B224" s="23"/>
      <c r="C224" s="18"/>
      <c r="D224" s="18"/>
      <c r="E224" s="18"/>
      <c r="F224" s="18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5.75" customHeight="1">
      <c r="A225" s="4"/>
      <c r="B225" s="23"/>
      <c r="C225" s="18"/>
      <c r="D225" s="18"/>
      <c r="E225" s="18"/>
      <c r="F225" s="18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15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15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15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15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15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15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15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15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15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15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15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15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15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15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15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15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15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15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15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15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15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15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15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15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15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15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15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15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15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15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15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15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15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15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15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15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15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15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15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15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15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15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15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15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15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15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15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15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15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15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15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15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15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15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15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15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15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15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15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15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15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15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15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15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15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15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15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15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15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15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15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15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15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15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15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15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15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15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15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15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15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15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15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15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15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15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15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15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15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15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15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15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15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15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15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15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15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15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15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15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15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15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15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15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15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15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15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15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15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15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15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15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15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15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15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15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15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15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15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15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15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15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15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15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15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15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15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15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15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15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15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15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15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15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15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15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15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15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15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15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15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15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15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15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15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15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15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15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15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15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15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15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15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15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15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15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15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15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15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15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15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15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15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15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15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15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15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15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15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15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15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15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15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15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15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15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15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15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15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15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15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15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15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15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15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15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15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15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15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15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15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15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15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15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15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15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15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15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15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15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15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15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15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15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15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15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15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15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15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15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15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15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15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15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15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15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15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15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15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15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15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15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15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15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15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15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15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15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15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15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15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15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15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15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15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15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15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15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15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15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15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15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15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15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15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15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15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15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15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15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15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15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15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15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15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15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15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15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15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15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15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15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15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15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15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15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15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15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15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15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15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15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15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15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15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15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15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15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15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15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15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15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15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15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15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15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15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15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15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15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15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15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15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15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15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15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15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15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15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15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15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15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15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15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15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15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15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15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15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15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15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15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15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15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15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15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15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15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15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15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15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15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15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15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15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15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15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15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15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15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15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15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15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15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15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15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15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15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15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15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15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15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15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15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15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15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15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15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15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15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15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15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15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15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15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15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15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15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15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15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15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15.7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15.7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15.7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15.7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15.7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15.7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15.7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15.7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15.7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15.7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15.7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15.7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15.7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15.7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15.7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15.7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15.7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15.7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15.7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15.7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15.7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15.7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ht="15.7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15.7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12.0"/>
    <col customWidth="1" min="4" max="4" width="18.0"/>
    <col customWidth="1" min="5" max="6" width="16.0"/>
    <col customWidth="1" min="7" max="7" width="18.0"/>
    <col customWidth="1" min="8" max="8" width="16.0"/>
    <col customWidth="1" min="9" max="9" width="8.71"/>
    <col customWidth="1" min="10" max="35" width="13.0"/>
  </cols>
  <sheetData>
    <row r="1">
      <c r="A1" s="24" t="s">
        <v>149</v>
      </c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</row>
    <row r="2">
      <c r="A2" s="25" t="s">
        <v>150</v>
      </c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</row>
    <row r="3">
      <c r="A3" s="10"/>
      <c r="B3" s="10"/>
      <c r="C3" s="10"/>
      <c r="D3" s="10"/>
      <c r="E3" s="10"/>
      <c r="F3" s="10"/>
      <c r="G3" s="10"/>
      <c r="H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</row>
    <row r="4">
      <c r="A4" s="26" t="s">
        <v>151</v>
      </c>
      <c r="B4" s="26" t="s">
        <v>152</v>
      </c>
      <c r="C4" s="26" t="s">
        <v>153</v>
      </c>
      <c r="D4" s="26" t="s">
        <v>135</v>
      </c>
      <c r="E4" s="26" t="s">
        <v>154</v>
      </c>
      <c r="F4" s="26" t="s">
        <v>155</v>
      </c>
      <c r="G4" s="26" t="s">
        <v>156</v>
      </c>
      <c r="H4" s="26" t="s">
        <v>157</v>
      </c>
      <c r="J4" s="27" t="str">
        <f>A5</f>
        <v>Bear</v>
      </c>
      <c r="K4" s="10"/>
      <c r="L4" s="10"/>
      <c r="M4" s="10"/>
      <c r="N4" s="10"/>
      <c r="O4" s="10"/>
      <c r="P4" s="10"/>
      <c r="Q4" s="27" t="str">
        <f>A6</f>
        <v>Base</v>
      </c>
      <c r="R4" s="10"/>
      <c r="S4" s="10"/>
      <c r="T4" s="10"/>
      <c r="U4" s="10"/>
      <c r="V4" s="10"/>
      <c r="W4" s="10"/>
      <c r="X4" s="27" t="str">
        <f>A7</f>
        <v>Bull</v>
      </c>
      <c r="Y4" s="10"/>
      <c r="Z4" s="10"/>
      <c r="AA4" s="10"/>
      <c r="AB4" s="10"/>
      <c r="AC4" s="10"/>
      <c r="AD4" s="10"/>
      <c r="AE4" s="27" t="str">
        <f>A8</f>
        <v>Custom</v>
      </c>
      <c r="AF4" s="10"/>
      <c r="AG4" s="10"/>
      <c r="AH4" s="10"/>
      <c r="AI4" s="10"/>
    </row>
    <row r="5">
      <c r="A5" s="28" t="s">
        <v>158</v>
      </c>
      <c r="B5" s="29">
        <f>Forecast!F8-0.015</f>
        <v>0.105</v>
      </c>
      <c r="C5" s="29">
        <f>WACC!B19+0.005</f>
        <v>0.09293444424</v>
      </c>
      <c r="D5" s="29">
        <f>WACC!B20-0.005</f>
        <v>0.01</v>
      </c>
      <c r="E5" s="30">
        <f>J19</f>
        <v>26061.01208</v>
      </c>
      <c r="F5" s="30">
        <f>J20</f>
        <v>23716.01208</v>
      </c>
      <c r="G5" s="31">
        <f>J21</f>
        <v>34.6350616</v>
      </c>
      <c r="H5" s="29">
        <f>J22</f>
        <v>0.07428851126</v>
      </c>
      <c r="J5" s="27" t="s">
        <v>55</v>
      </c>
      <c r="K5" s="27" t="s">
        <v>56</v>
      </c>
      <c r="L5" s="27" t="s">
        <v>57</v>
      </c>
      <c r="M5" s="27" t="s">
        <v>58</v>
      </c>
      <c r="N5" s="27" t="s">
        <v>59</v>
      </c>
      <c r="O5" s="10"/>
      <c r="P5" s="10"/>
      <c r="Q5" s="27" t="s">
        <v>55</v>
      </c>
      <c r="R5" s="27" t="s">
        <v>56</v>
      </c>
      <c r="S5" s="27" t="s">
        <v>57</v>
      </c>
      <c r="T5" s="27" t="s">
        <v>58</v>
      </c>
      <c r="U5" s="27" t="s">
        <v>59</v>
      </c>
      <c r="V5" s="10"/>
      <c r="W5" s="10"/>
      <c r="X5" s="27" t="s">
        <v>55</v>
      </c>
      <c r="Y5" s="27" t="s">
        <v>56</v>
      </c>
      <c r="Z5" s="27" t="s">
        <v>57</v>
      </c>
      <c r="AA5" s="27" t="s">
        <v>58</v>
      </c>
      <c r="AB5" s="27" t="s">
        <v>59</v>
      </c>
      <c r="AC5" s="10"/>
      <c r="AD5" s="10"/>
      <c r="AE5" s="27" t="s">
        <v>55</v>
      </c>
      <c r="AF5" s="27" t="s">
        <v>56</v>
      </c>
      <c r="AG5" s="27" t="s">
        <v>57</v>
      </c>
      <c r="AH5" s="27" t="s">
        <v>58</v>
      </c>
      <c r="AI5" s="27" t="s">
        <v>59</v>
      </c>
    </row>
    <row r="6">
      <c r="A6" s="28" t="s">
        <v>159</v>
      </c>
      <c r="B6" s="29">
        <f>Forecast!F8</f>
        <v>0.12</v>
      </c>
      <c r="C6" s="29">
        <f>WACC!B19</f>
        <v>0.08793444424</v>
      </c>
      <c r="D6" s="29">
        <f>WACC!B20</f>
        <v>0.015</v>
      </c>
      <c r="E6" s="30">
        <f>Q19</f>
        <v>32704.37942</v>
      </c>
      <c r="F6" s="30">
        <f>Q20</f>
        <v>30359.37942</v>
      </c>
      <c r="G6" s="31">
        <f>Q21</f>
        <v>44.33709061</v>
      </c>
      <c r="H6" s="29">
        <f>Q22</f>
        <v>0.3752199319</v>
      </c>
      <c r="J6" s="32">
        <f>Forecast!B4</f>
        <v>26382.05971</v>
      </c>
      <c r="K6" s="32">
        <f>Forecast!C4</f>
        <v>27041.6112</v>
      </c>
      <c r="L6" s="32">
        <f>Forecast!D4</f>
        <v>27852.85953</v>
      </c>
      <c r="M6" s="32">
        <f>Forecast!E4</f>
        <v>28688.44532</v>
      </c>
      <c r="N6" s="32">
        <f>Forecast!F4</f>
        <v>29405.65645</v>
      </c>
      <c r="O6" s="10"/>
      <c r="P6" s="10"/>
      <c r="Q6" s="32">
        <f>Forecast!B4</f>
        <v>26382.05971</v>
      </c>
      <c r="R6" s="32">
        <f>Forecast!C4</f>
        <v>27041.6112</v>
      </c>
      <c r="S6" s="32">
        <f>Forecast!D4</f>
        <v>27852.85953</v>
      </c>
      <c r="T6" s="32">
        <f>Forecast!E4</f>
        <v>28688.44532</v>
      </c>
      <c r="U6" s="32">
        <f>Forecast!F4</f>
        <v>29405.65645</v>
      </c>
      <c r="V6" s="10"/>
      <c r="W6" s="10"/>
      <c r="X6" s="32">
        <f>Forecast!B4</f>
        <v>26382.05971</v>
      </c>
      <c r="Y6" s="32">
        <f>Forecast!C4</f>
        <v>27041.6112</v>
      </c>
      <c r="Z6" s="32">
        <f>Forecast!D4</f>
        <v>27852.85953</v>
      </c>
      <c r="AA6" s="32">
        <f>Forecast!E4</f>
        <v>28688.44532</v>
      </c>
      <c r="AB6" s="32">
        <f>Forecast!F4</f>
        <v>29405.65645</v>
      </c>
      <c r="AC6" s="10"/>
      <c r="AD6" s="10"/>
      <c r="AE6" s="32">
        <f>Forecast!B4</f>
        <v>26382.05971</v>
      </c>
      <c r="AF6" s="32">
        <f>Forecast!C4</f>
        <v>27041.6112</v>
      </c>
      <c r="AG6" s="32">
        <f>Forecast!D4</f>
        <v>27852.85953</v>
      </c>
      <c r="AH6" s="32">
        <f>Forecast!E4</f>
        <v>28688.44532</v>
      </c>
      <c r="AI6" s="32">
        <f>Forecast!F4</f>
        <v>29405.65645</v>
      </c>
    </row>
    <row r="7">
      <c r="A7" s="28" t="s">
        <v>160</v>
      </c>
      <c r="B7" s="29">
        <f>Forecast!F8+0.01</f>
        <v>0.13</v>
      </c>
      <c r="C7" s="29">
        <f>WACC!B19-0.005</f>
        <v>0.08293444424</v>
      </c>
      <c r="D7" s="29">
        <f>WACC!B20+0.005</f>
        <v>0.02</v>
      </c>
      <c r="E7" s="30">
        <f>X19</f>
        <v>40111.3891</v>
      </c>
      <c r="F7" s="30">
        <f>X20</f>
        <v>37766.3891</v>
      </c>
      <c r="G7" s="31">
        <f>X21</f>
        <v>55.15434924</v>
      </c>
      <c r="H7" s="29">
        <f>X22</f>
        <v>0.7107428426</v>
      </c>
      <c r="J7" s="33">
        <f>Forecast!B8</f>
        <v>0.107</v>
      </c>
      <c r="K7" s="33">
        <f>Forecast!$B$8+(($B5-Forecast!$B$8)*1/4)</f>
        <v>0.1065</v>
      </c>
      <c r="L7" s="33">
        <f>Forecast!$B$8+(($B5-Forecast!$B$8)*2/4)</f>
        <v>0.106</v>
      </c>
      <c r="M7" s="33">
        <f>Forecast!$B$8+(($B5-Forecast!$B$8)*3/4)</f>
        <v>0.1055</v>
      </c>
      <c r="N7" s="33">
        <f>Forecast!$B$8+(($B5-Forecast!$B$8)*4/4)</f>
        <v>0.105</v>
      </c>
      <c r="O7" s="10"/>
      <c r="P7" s="10"/>
      <c r="Q7" s="33">
        <f>Forecast!B8</f>
        <v>0.107</v>
      </c>
      <c r="R7" s="33">
        <f>Forecast!$B$8+(($B6-Forecast!$B$8)*1/4)</f>
        <v>0.11025</v>
      </c>
      <c r="S7" s="33">
        <f>Forecast!$B$8+(($B6-Forecast!$B$8)*2/4)</f>
        <v>0.1135</v>
      </c>
      <c r="T7" s="33">
        <f>Forecast!$B$8+(($B6-Forecast!$B$8)*3/4)</f>
        <v>0.11675</v>
      </c>
      <c r="U7" s="33">
        <f>Forecast!$B$8+(($B6-Forecast!$B$8)*4/4)</f>
        <v>0.12</v>
      </c>
      <c r="V7" s="10"/>
      <c r="W7" s="10"/>
      <c r="X7" s="33">
        <f>Forecast!B8</f>
        <v>0.107</v>
      </c>
      <c r="Y7" s="33">
        <f>Forecast!$B$8+(($B7-Forecast!$B$8)*1/4)</f>
        <v>0.11275</v>
      </c>
      <c r="Z7" s="33">
        <f>Forecast!$B$8+(($B7-Forecast!$B$8)*2/4)</f>
        <v>0.1185</v>
      </c>
      <c r="AA7" s="33">
        <f>Forecast!$B$8+(($B7-Forecast!$B$8)*3/4)</f>
        <v>0.12425</v>
      </c>
      <c r="AB7" s="33">
        <f>Forecast!$B$8+(($B7-Forecast!$B$8)*4/4)</f>
        <v>0.13</v>
      </c>
      <c r="AC7" s="10"/>
      <c r="AD7" s="10"/>
      <c r="AE7" s="33">
        <f>Forecast!B8</f>
        <v>0.107</v>
      </c>
      <c r="AF7" s="33">
        <f>Forecast!$B$8+(($B8-Forecast!$B$8)*1/4)</f>
        <v>0.11025</v>
      </c>
      <c r="AG7" s="33">
        <f>Forecast!$B$8+(($B8-Forecast!$B$8)*2/4)</f>
        <v>0.1135</v>
      </c>
      <c r="AH7" s="33">
        <f>Forecast!$B$8+(($B8-Forecast!$B$8)*3/4)</f>
        <v>0.11675</v>
      </c>
      <c r="AI7" s="33">
        <f>Forecast!$B$8+(($B8-Forecast!$B$8)*4/4)</f>
        <v>0.12</v>
      </c>
    </row>
    <row r="8">
      <c r="A8" s="34" t="s">
        <v>161</v>
      </c>
      <c r="B8" s="35">
        <f>0.12</f>
        <v>0.12</v>
      </c>
      <c r="C8" s="35">
        <f>0.088</f>
        <v>0.088</v>
      </c>
      <c r="D8" s="35">
        <f>0.015</f>
        <v>0.015</v>
      </c>
      <c r="E8" s="36">
        <f>AE19</f>
        <v>32674.38375</v>
      </c>
      <c r="F8" s="36">
        <f>AE20</f>
        <v>30329.38375</v>
      </c>
      <c r="G8" s="37">
        <f>AE21</f>
        <v>44.29328468</v>
      </c>
      <c r="H8" s="35">
        <f>AE22</f>
        <v>0.3738611875</v>
      </c>
      <c r="J8" s="27">
        <f t="shared" ref="J8:N8" si="1">J6*J7</f>
        <v>2822.880388</v>
      </c>
      <c r="K8" s="27">
        <f t="shared" si="1"/>
        <v>2879.931593</v>
      </c>
      <c r="L8" s="27">
        <f t="shared" si="1"/>
        <v>2952.403111</v>
      </c>
      <c r="M8" s="27">
        <f t="shared" si="1"/>
        <v>3026.630981</v>
      </c>
      <c r="N8" s="27">
        <f t="shared" si="1"/>
        <v>3087.593928</v>
      </c>
      <c r="O8" s="10"/>
      <c r="P8" s="10"/>
      <c r="Q8" s="27">
        <f t="shared" ref="Q8:U8" si="2">Q6*Q7</f>
        <v>2822.880388</v>
      </c>
      <c r="R8" s="27">
        <f t="shared" si="2"/>
        <v>2981.337635</v>
      </c>
      <c r="S8" s="27">
        <f t="shared" si="2"/>
        <v>3161.299557</v>
      </c>
      <c r="T8" s="27">
        <f t="shared" si="2"/>
        <v>3349.375991</v>
      </c>
      <c r="U8" s="27">
        <f t="shared" si="2"/>
        <v>3528.678774</v>
      </c>
      <c r="V8" s="10"/>
      <c r="W8" s="10"/>
      <c r="X8" s="27">
        <f t="shared" ref="X8:AB8" si="3">X6*X7</f>
        <v>2822.880388</v>
      </c>
      <c r="Y8" s="27">
        <f t="shared" si="3"/>
        <v>3048.941663</v>
      </c>
      <c r="Z8" s="27">
        <f t="shared" si="3"/>
        <v>3300.563855</v>
      </c>
      <c r="AA8" s="27">
        <f t="shared" si="3"/>
        <v>3564.539331</v>
      </c>
      <c r="AB8" s="27">
        <f t="shared" si="3"/>
        <v>3822.735339</v>
      </c>
      <c r="AC8" s="10"/>
      <c r="AD8" s="10"/>
      <c r="AE8" s="27">
        <f t="shared" ref="AE8:AI8" si="4">AE6*AE7</f>
        <v>2822.880388</v>
      </c>
      <c r="AF8" s="27">
        <f t="shared" si="4"/>
        <v>2981.337635</v>
      </c>
      <c r="AG8" s="27">
        <f t="shared" si="4"/>
        <v>3161.299557</v>
      </c>
      <c r="AH8" s="27">
        <f t="shared" si="4"/>
        <v>3349.375991</v>
      </c>
      <c r="AI8" s="27">
        <f t="shared" si="4"/>
        <v>3528.678774</v>
      </c>
    </row>
    <row r="9">
      <c r="A9" s="10"/>
      <c r="B9" s="10"/>
      <c r="C9" s="10"/>
      <c r="D9" s="10"/>
      <c r="E9" s="10"/>
      <c r="F9" s="10"/>
      <c r="G9" s="10"/>
      <c r="H9" s="10"/>
      <c r="J9" s="33">
        <f>Forecast!B10</f>
        <v>0.2629317622</v>
      </c>
      <c r="K9" s="33">
        <f>Forecast!C10</f>
        <v>0.2629317622</v>
      </c>
      <c r="L9" s="33">
        <f>Forecast!D10</f>
        <v>0.2629317622</v>
      </c>
      <c r="M9" s="33">
        <f>Forecast!E10</f>
        <v>0.2629317622</v>
      </c>
      <c r="N9" s="33">
        <f>Forecast!F10</f>
        <v>0.2629317622</v>
      </c>
      <c r="O9" s="10"/>
      <c r="P9" s="10"/>
      <c r="Q9" s="33">
        <f>Forecast!B10</f>
        <v>0.2629317622</v>
      </c>
      <c r="R9" s="33">
        <f>Forecast!C10</f>
        <v>0.2629317622</v>
      </c>
      <c r="S9" s="33">
        <f>Forecast!D10</f>
        <v>0.2629317622</v>
      </c>
      <c r="T9" s="33">
        <f>Forecast!E10</f>
        <v>0.2629317622</v>
      </c>
      <c r="U9" s="33">
        <f>Forecast!F10</f>
        <v>0.2629317622</v>
      </c>
      <c r="V9" s="10"/>
      <c r="W9" s="10"/>
      <c r="X9" s="33">
        <f>Forecast!B10</f>
        <v>0.2629317622</v>
      </c>
      <c r="Y9" s="33">
        <f>Forecast!C10</f>
        <v>0.2629317622</v>
      </c>
      <c r="Z9" s="33">
        <f>Forecast!D10</f>
        <v>0.2629317622</v>
      </c>
      <c r="AA9" s="33">
        <f>Forecast!E10</f>
        <v>0.2629317622</v>
      </c>
      <c r="AB9" s="33">
        <f>Forecast!F10</f>
        <v>0.2629317622</v>
      </c>
      <c r="AC9" s="10"/>
      <c r="AD9" s="10"/>
      <c r="AE9" s="33">
        <f>Forecast!B10</f>
        <v>0.2629317622</v>
      </c>
      <c r="AF9" s="33">
        <f>Forecast!C10</f>
        <v>0.2629317622</v>
      </c>
      <c r="AG9" s="33">
        <f>Forecast!D10</f>
        <v>0.2629317622</v>
      </c>
      <c r="AH9" s="33">
        <f>Forecast!E10</f>
        <v>0.2629317622</v>
      </c>
      <c r="AI9" s="33">
        <f>Forecast!F10</f>
        <v>0.2629317622</v>
      </c>
    </row>
    <row r="10">
      <c r="A10" s="38" t="s">
        <v>162</v>
      </c>
      <c r="B10" s="39"/>
      <c r="C10" s="39"/>
      <c r="D10" s="39"/>
      <c r="E10" s="39"/>
      <c r="F10" s="39"/>
      <c r="G10" s="39"/>
      <c r="H10" s="40"/>
      <c r="J10" s="27">
        <f t="shared" ref="J10:N10" si="5">J8*(1-J9)</f>
        <v>2080.655473</v>
      </c>
      <c r="K10" s="27">
        <f t="shared" si="5"/>
        <v>2122.706104</v>
      </c>
      <c r="L10" s="27">
        <f t="shared" si="5"/>
        <v>2176.122558</v>
      </c>
      <c r="M10" s="27">
        <f t="shared" si="5"/>
        <v>2230.833564</v>
      </c>
      <c r="N10" s="27">
        <f t="shared" si="5"/>
        <v>2275.767415</v>
      </c>
      <c r="O10" s="10"/>
      <c r="P10" s="10"/>
      <c r="Q10" s="27">
        <f t="shared" ref="Q10:U10" si="6">Q8*(1-Q9)</f>
        <v>2080.655473</v>
      </c>
      <c r="R10" s="27">
        <f t="shared" si="6"/>
        <v>2197.449276</v>
      </c>
      <c r="S10" s="27">
        <f t="shared" si="6"/>
        <v>2330.093494</v>
      </c>
      <c r="T10" s="27">
        <f t="shared" si="6"/>
        <v>2468.718659</v>
      </c>
      <c r="U10" s="27">
        <f t="shared" si="6"/>
        <v>2600.877046</v>
      </c>
      <c r="V10" s="10"/>
      <c r="W10" s="10"/>
      <c r="X10" s="27">
        <f t="shared" ref="X10:AB10" si="7">X8*(1-X9)</f>
        <v>2080.655473</v>
      </c>
      <c r="Y10" s="27">
        <f t="shared" si="7"/>
        <v>2247.278058</v>
      </c>
      <c r="Z10" s="27">
        <f t="shared" si="7"/>
        <v>2432.740784</v>
      </c>
      <c r="AA10" s="27">
        <f t="shared" si="7"/>
        <v>2627.308723</v>
      </c>
      <c r="AB10" s="27">
        <f t="shared" si="7"/>
        <v>2817.6168</v>
      </c>
      <c r="AC10" s="10"/>
      <c r="AD10" s="10"/>
      <c r="AE10" s="27">
        <f t="shared" ref="AE10:AI10" si="8">AE8*(1-AE9)</f>
        <v>2080.655473</v>
      </c>
      <c r="AF10" s="27">
        <f t="shared" si="8"/>
        <v>2197.449276</v>
      </c>
      <c r="AG10" s="27">
        <f t="shared" si="8"/>
        <v>2330.093494</v>
      </c>
      <c r="AH10" s="27">
        <f t="shared" si="8"/>
        <v>2468.718659</v>
      </c>
      <c r="AI10" s="27">
        <f t="shared" si="8"/>
        <v>2600.877046</v>
      </c>
    </row>
    <row r="11">
      <c r="A11" s="38" t="s">
        <v>163</v>
      </c>
      <c r="B11" s="39"/>
      <c r="C11" s="39"/>
      <c r="D11" s="39"/>
      <c r="E11" s="39"/>
      <c r="F11" s="39"/>
      <c r="G11" s="39"/>
      <c r="H11" s="40"/>
      <c r="J11" s="27">
        <f>J6*Forecast!B12</f>
        <v>1925.890358</v>
      </c>
      <c r="K11" s="27">
        <f>K6*Forecast!C12</f>
        <v>1946.996006</v>
      </c>
      <c r="L11" s="27">
        <f>L6*Forecast!D12</f>
        <v>1977.553027</v>
      </c>
      <c r="M11" s="27">
        <f>M6*Forecast!E12</f>
        <v>2008.191172</v>
      </c>
      <c r="N11" s="27">
        <f>N6*Forecast!F12</f>
        <v>2058.395952</v>
      </c>
      <c r="O11" s="10"/>
      <c r="P11" s="10"/>
      <c r="Q11" s="27">
        <f>Q6*Forecast!B12</f>
        <v>1925.890358</v>
      </c>
      <c r="R11" s="27">
        <f>R6*Forecast!C12</f>
        <v>1946.996006</v>
      </c>
      <c r="S11" s="27">
        <f>S6*Forecast!D12</f>
        <v>1977.553027</v>
      </c>
      <c r="T11" s="27">
        <f>T6*Forecast!E12</f>
        <v>2008.191172</v>
      </c>
      <c r="U11" s="27">
        <f>U6*Forecast!F12</f>
        <v>2058.395952</v>
      </c>
      <c r="V11" s="10"/>
      <c r="W11" s="10"/>
      <c r="X11" s="27">
        <f>X6*Forecast!B12</f>
        <v>1925.890358</v>
      </c>
      <c r="Y11" s="27">
        <f>Y6*Forecast!C12</f>
        <v>1946.996006</v>
      </c>
      <c r="Z11" s="27">
        <f>Z6*Forecast!D12</f>
        <v>1977.553027</v>
      </c>
      <c r="AA11" s="27">
        <f>AA6*Forecast!E12</f>
        <v>2008.191172</v>
      </c>
      <c r="AB11" s="27">
        <f>AB6*Forecast!F12</f>
        <v>2058.395952</v>
      </c>
      <c r="AC11" s="10"/>
      <c r="AD11" s="10"/>
      <c r="AE11" s="27">
        <f>AE6*Forecast!B12</f>
        <v>1925.890358</v>
      </c>
      <c r="AF11" s="27">
        <f>AF6*Forecast!C12</f>
        <v>1946.996006</v>
      </c>
      <c r="AG11" s="27">
        <f>AG6*Forecast!D12</f>
        <v>1977.553027</v>
      </c>
      <c r="AH11" s="27">
        <f>AH6*Forecast!E12</f>
        <v>2008.191172</v>
      </c>
      <c r="AI11" s="27">
        <f>AI6*Forecast!F12</f>
        <v>2058.395952</v>
      </c>
    </row>
    <row r="12">
      <c r="A12" s="10"/>
      <c r="B12" s="10"/>
      <c r="C12" s="10"/>
      <c r="D12" s="10"/>
      <c r="E12" s="10"/>
      <c r="F12" s="10"/>
      <c r="G12" s="10"/>
      <c r="H12" s="10"/>
      <c r="J12" s="27">
        <f>J6*Forecast!B14</f>
        <v>1925.890358</v>
      </c>
      <c r="K12" s="27">
        <f>K6*Forecast!C14</f>
        <v>1946.996006</v>
      </c>
      <c r="L12" s="27">
        <f>L6*Forecast!D14</f>
        <v>1977.553027</v>
      </c>
      <c r="M12" s="27">
        <f>M6*Forecast!E14</f>
        <v>2008.191172</v>
      </c>
      <c r="N12" s="27">
        <f>N6*Forecast!F14</f>
        <v>2058.395952</v>
      </c>
      <c r="O12" s="10"/>
      <c r="P12" s="10"/>
      <c r="Q12" s="27">
        <f>Q6*Forecast!B14</f>
        <v>1925.890358</v>
      </c>
      <c r="R12" s="27">
        <f>R6*Forecast!C14</f>
        <v>1946.996006</v>
      </c>
      <c r="S12" s="27">
        <f>S6*Forecast!D14</f>
        <v>1977.553027</v>
      </c>
      <c r="T12" s="27">
        <f>T6*Forecast!E14</f>
        <v>2008.191172</v>
      </c>
      <c r="U12" s="27">
        <f>U6*Forecast!F14</f>
        <v>2058.395952</v>
      </c>
      <c r="V12" s="10"/>
      <c r="W12" s="10"/>
      <c r="X12" s="27">
        <f>X6*Forecast!B14</f>
        <v>1925.890358</v>
      </c>
      <c r="Y12" s="27">
        <f>Y6*Forecast!C14</f>
        <v>1946.996006</v>
      </c>
      <c r="Z12" s="27">
        <f>Z6*Forecast!D14</f>
        <v>1977.553027</v>
      </c>
      <c r="AA12" s="27">
        <f>AA6*Forecast!E14</f>
        <v>2008.191172</v>
      </c>
      <c r="AB12" s="27">
        <f>AB6*Forecast!F14</f>
        <v>2058.395952</v>
      </c>
      <c r="AC12" s="10"/>
      <c r="AD12" s="10"/>
      <c r="AE12" s="27">
        <f>AE6*Forecast!B14</f>
        <v>1925.890358</v>
      </c>
      <c r="AF12" s="27">
        <f>AF6*Forecast!C14</f>
        <v>1946.996006</v>
      </c>
      <c r="AG12" s="27">
        <f>AG6*Forecast!D14</f>
        <v>1977.553027</v>
      </c>
      <c r="AH12" s="27">
        <f>AH6*Forecast!E14</f>
        <v>2008.191172</v>
      </c>
      <c r="AI12" s="27">
        <f>AI6*Forecast!F14</f>
        <v>2058.395952</v>
      </c>
    </row>
    <row r="13">
      <c r="A13" s="10"/>
      <c r="B13" s="10"/>
      <c r="C13" s="10"/>
      <c r="D13" s="10"/>
      <c r="E13" s="10"/>
      <c r="F13" s="10"/>
      <c r="G13" s="10"/>
      <c r="H13" s="10"/>
      <c r="J13" s="32">
        <f>Forecast!B16</f>
        <v>3.898826557</v>
      </c>
      <c r="K13" s="32">
        <f>Forecast!C16</f>
        <v>6.595514926</v>
      </c>
      <c r="L13" s="32">
        <f>Forecast!D16</f>
        <v>8.112483359</v>
      </c>
      <c r="M13" s="32">
        <f>Forecast!E16</f>
        <v>8.35585786</v>
      </c>
      <c r="N13" s="32">
        <f>Forecast!F16</f>
        <v>7.17211133</v>
      </c>
      <c r="O13" s="10"/>
      <c r="P13" s="10"/>
      <c r="Q13" s="32">
        <f>Forecast!B16</f>
        <v>3.898826557</v>
      </c>
      <c r="R13" s="32">
        <f>Forecast!C16</f>
        <v>6.595514926</v>
      </c>
      <c r="S13" s="32">
        <f>Forecast!D16</f>
        <v>8.112483359</v>
      </c>
      <c r="T13" s="32">
        <f>Forecast!E16</f>
        <v>8.35585786</v>
      </c>
      <c r="U13" s="32">
        <f>Forecast!F16</f>
        <v>7.17211133</v>
      </c>
      <c r="V13" s="10"/>
      <c r="W13" s="10"/>
      <c r="X13" s="32">
        <f>Forecast!B16</f>
        <v>3.898826557</v>
      </c>
      <c r="Y13" s="32">
        <f>Forecast!C16</f>
        <v>6.595514926</v>
      </c>
      <c r="Z13" s="32">
        <f>Forecast!D16</f>
        <v>8.112483359</v>
      </c>
      <c r="AA13" s="32">
        <f>Forecast!E16</f>
        <v>8.35585786</v>
      </c>
      <c r="AB13" s="32">
        <f>Forecast!F16</f>
        <v>7.17211133</v>
      </c>
      <c r="AC13" s="10"/>
      <c r="AD13" s="10"/>
      <c r="AE13" s="32">
        <f>Forecast!B16</f>
        <v>3.898826557</v>
      </c>
      <c r="AF13" s="32">
        <f>Forecast!C16</f>
        <v>6.595514926</v>
      </c>
      <c r="AG13" s="32">
        <f>Forecast!D16</f>
        <v>8.112483359</v>
      </c>
      <c r="AH13" s="32">
        <f>Forecast!E16</f>
        <v>8.35585786</v>
      </c>
      <c r="AI13" s="32">
        <f>Forecast!F16</f>
        <v>7.17211133</v>
      </c>
    </row>
    <row r="14">
      <c r="A14" s="10"/>
      <c r="B14" s="10"/>
      <c r="C14" s="10"/>
      <c r="D14" s="10"/>
      <c r="E14" s="10"/>
      <c r="F14" s="10"/>
      <c r="G14" s="10"/>
      <c r="H14" s="10"/>
      <c r="J14" s="32">
        <f t="shared" ref="J14:N14" si="9">J10+J11-J12-J13</f>
        <v>2076.756647</v>
      </c>
      <c r="K14" s="32">
        <f t="shared" si="9"/>
        <v>2116.110589</v>
      </c>
      <c r="L14" s="32">
        <f t="shared" si="9"/>
        <v>2168.010074</v>
      </c>
      <c r="M14" s="32">
        <f t="shared" si="9"/>
        <v>2222.477706</v>
      </c>
      <c r="N14" s="32">
        <f t="shared" si="9"/>
        <v>2268.595304</v>
      </c>
      <c r="O14" s="10"/>
      <c r="P14" s="10"/>
      <c r="Q14" s="32">
        <f t="shared" ref="Q14:U14" si="10">Q10+Q11-Q12-Q13</f>
        <v>2076.756647</v>
      </c>
      <c r="R14" s="32">
        <f t="shared" si="10"/>
        <v>2190.853762</v>
      </c>
      <c r="S14" s="32">
        <f t="shared" si="10"/>
        <v>2321.98101</v>
      </c>
      <c r="T14" s="32">
        <f t="shared" si="10"/>
        <v>2460.362801</v>
      </c>
      <c r="U14" s="32">
        <f t="shared" si="10"/>
        <v>2593.704934</v>
      </c>
      <c r="V14" s="10"/>
      <c r="W14" s="10"/>
      <c r="X14" s="32">
        <f t="shared" ref="X14:AB14" si="11">X10+X11-X12-X13</f>
        <v>2076.756647</v>
      </c>
      <c r="Y14" s="32">
        <f t="shared" si="11"/>
        <v>2240.682543</v>
      </c>
      <c r="Z14" s="32">
        <f t="shared" si="11"/>
        <v>2424.628301</v>
      </c>
      <c r="AA14" s="32">
        <f t="shared" si="11"/>
        <v>2618.952865</v>
      </c>
      <c r="AB14" s="32">
        <f t="shared" si="11"/>
        <v>2810.444688</v>
      </c>
      <c r="AC14" s="10"/>
      <c r="AD14" s="10"/>
      <c r="AE14" s="32">
        <f t="shared" ref="AE14:AI14" si="12">AE10+AE11-AE12-AE13</f>
        <v>2076.756647</v>
      </c>
      <c r="AF14" s="32">
        <f t="shared" si="12"/>
        <v>2190.853762</v>
      </c>
      <c r="AG14" s="32">
        <f t="shared" si="12"/>
        <v>2321.98101</v>
      </c>
      <c r="AH14" s="32">
        <f t="shared" si="12"/>
        <v>2460.362801</v>
      </c>
      <c r="AI14" s="32">
        <f t="shared" si="12"/>
        <v>2593.704934</v>
      </c>
    </row>
    <row r="15">
      <c r="A15" s="10"/>
      <c r="B15" s="10"/>
      <c r="C15" s="10"/>
      <c r="D15" s="10"/>
      <c r="E15" s="10"/>
      <c r="F15" s="10"/>
      <c r="G15" s="10"/>
      <c r="H15" s="10"/>
      <c r="J15" s="27">
        <f>1/((1+$C5)^1)</f>
        <v>0.914967961</v>
      </c>
      <c r="K15" s="27">
        <f>1/((1+$C5)^2)</f>
        <v>0.8371663697</v>
      </c>
      <c r="L15" s="27">
        <f>1/((1+$C5)^3)</f>
        <v>0.7659804064</v>
      </c>
      <c r="M15" s="27">
        <f>1/((1+$C5)^4)</f>
        <v>0.7008475306</v>
      </c>
      <c r="N15" s="27">
        <f>1/((1+$C5)^5)</f>
        <v>0.6412530361</v>
      </c>
      <c r="O15" s="10"/>
      <c r="P15" s="10"/>
      <c r="Q15" s="27">
        <f>1/((1+$C6)^1)</f>
        <v>0.9191730304</v>
      </c>
      <c r="R15" s="27">
        <f>1/((1+$C6)^2)</f>
        <v>0.8448790598</v>
      </c>
      <c r="S15" s="27">
        <f>1/((1+$C6)^3)</f>
        <v>0.7765900458</v>
      </c>
      <c r="T15" s="27">
        <f>1/((1+$C6)^4)</f>
        <v>0.7138206258</v>
      </c>
      <c r="U15" s="27">
        <f>1/((1+$C6)^5)</f>
        <v>0.6561246677</v>
      </c>
      <c r="V15" s="10"/>
      <c r="W15" s="10"/>
      <c r="X15" s="27">
        <f>1/((1+$C7)^1)</f>
        <v>0.9234169301</v>
      </c>
      <c r="Y15" s="27">
        <f>1/((1+$C7)^2)</f>
        <v>0.8526988268</v>
      </c>
      <c r="Z15" s="27">
        <f>1/((1+$C7)^3)</f>
        <v>0.7873965329</v>
      </c>
      <c r="AA15" s="27">
        <f>1/((1+$C7)^4)</f>
        <v>0.7270952892</v>
      </c>
      <c r="AB15" s="27">
        <f>1/((1+$C7)^5)</f>
        <v>0.6714120999</v>
      </c>
      <c r="AC15" s="10"/>
      <c r="AD15" s="10"/>
      <c r="AE15" s="27">
        <f>1/((1+$C8)^1)</f>
        <v>0.9191176471</v>
      </c>
      <c r="AF15" s="27">
        <f>1/((1+$C8)^2)</f>
        <v>0.8447772491</v>
      </c>
      <c r="AG15" s="27">
        <f>1/((1+$C8)^3)</f>
        <v>0.7764496775</v>
      </c>
      <c r="AH15" s="27">
        <f>1/((1+$C8)^4)</f>
        <v>0.7136486007</v>
      </c>
      <c r="AI15" s="27">
        <f>1/((1+$C8)^5)</f>
        <v>0.6559270227</v>
      </c>
    </row>
    <row r="16">
      <c r="A16" s="10"/>
      <c r="B16" s="10"/>
      <c r="C16" s="10"/>
      <c r="D16" s="10"/>
      <c r="E16" s="10"/>
      <c r="F16" s="10"/>
      <c r="G16" s="10"/>
      <c r="H16" s="10"/>
      <c r="J16" s="27">
        <f t="shared" ref="J16:N16" si="13">J14*J15</f>
        <v>1900.165795</v>
      </c>
      <c r="K16" s="27">
        <f t="shared" si="13"/>
        <v>1771.53662</v>
      </c>
      <c r="L16" s="27">
        <f t="shared" si="13"/>
        <v>1660.653238</v>
      </c>
      <c r="M16" s="27">
        <f t="shared" si="13"/>
        <v>1557.618012</v>
      </c>
      <c r="N16" s="27">
        <f t="shared" si="13"/>
        <v>1454.743626</v>
      </c>
      <c r="O16" s="10"/>
      <c r="P16" s="10"/>
      <c r="Q16" s="27">
        <f t="shared" ref="Q16:U16" si="14">Q14*Q15</f>
        <v>1908.8987</v>
      </c>
      <c r="R16" s="27">
        <f t="shared" si="14"/>
        <v>1851.006466</v>
      </c>
      <c r="S16" s="27">
        <f t="shared" si="14"/>
        <v>1803.227339</v>
      </c>
      <c r="T16" s="27">
        <f t="shared" si="14"/>
        <v>1756.257715</v>
      </c>
      <c r="U16" s="27">
        <f t="shared" si="14"/>
        <v>1701.793788</v>
      </c>
      <c r="V16" s="10"/>
      <c r="W16" s="10"/>
      <c r="X16" s="27">
        <f t="shared" ref="X16:AB16" si="15">X14*X15</f>
        <v>1917.712247</v>
      </c>
      <c r="Y16" s="27">
        <f t="shared" si="15"/>
        <v>1910.627376</v>
      </c>
      <c r="Z16" s="27">
        <f t="shared" si="15"/>
        <v>1909.143918</v>
      </c>
      <c r="AA16" s="27">
        <f t="shared" si="15"/>
        <v>1904.228291</v>
      </c>
      <c r="AB16" s="27">
        <f t="shared" si="15"/>
        <v>1886.96657</v>
      </c>
      <c r="AC16" s="10"/>
      <c r="AD16" s="10"/>
      <c r="AE16" s="27">
        <f t="shared" ref="AE16:AI16" si="16">AE14*AE15</f>
        <v>1908.783683</v>
      </c>
      <c r="AF16" s="27">
        <f t="shared" si="16"/>
        <v>1850.783414</v>
      </c>
      <c r="AG16" s="27">
        <f t="shared" si="16"/>
        <v>1802.901407</v>
      </c>
      <c r="AH16" s="27">
        <f t="shared" si="16"/>
        <v>1755.83447</v>
      </c>
      <c r="AI16" s="27">
        <f t="shared" si="16"/>
        <v>1701.281155</v>
      </c>
    </row>
    <row r="17">
      <c r="A17" s="10"/>
      <c r="B17" s="10"/>
      <c r="C17" s="10"/>
      <c r="D17" s="10"/>
      <c r="E17" s="10"/>
      <c r="F17" s="10"/>
      <c r="G17" s="10"/>
      <c r="H17" s="10"/>
      <c r="J17" s="27">
        <f>N14*(1+$D5)/($C5-$D5)</f>
        <v>27627.61935</v>
      </c>
      <c r="K17" s="10"/>
      <c r="L17" s="10"/>
      <c r="M17" s="10"/>
      <c r="N17" s="10"/>
      <c r="O17" s="10"/>
      <c r="P17" s="10"/>
      <c r="Q17" s="27">
        <f>U14*(1+$D6)/($C6-$D6)</f>
        <v>36095.57235</v>
      </c>
      <c r="R17" s="10"/>
      <c r="S17" s="10"/>
      <c r="T17" s="10"/>
      <c r="U17" s="10"/>
      <c r="V17" s="10"/>
      <c r="W17" s="10"/>
      <c r="X17" s="27">
        <f>AB14*(1+$D7)/($C7-$D7)</f>
        <v>45549.8355</v>
      </c>
      <c r="Y17" s="10"/>
      <c r="Z17" s="10"/>
      <c r="AA17" s="10"/>
      <c r="AB17" s="10"/>
      <c r="AC17" s="10"/>
      <c r="AD17" s="10"/>
      <c r="AE17" s="27">
        <f>AI14*(1+$D8)/($C8-$D8)</f>
        <v>36063.15765</v>
      </c>
      <c r="AF17" s="10"/>
      <c r="AG17" s="10"/>
      <c r="AH17" s="10"/>
      <c r="AI17" s="10"/>
    </row>
    <row r="18">
      <c r="A18" s="10"/>
      <c r="B18" s="10"/>
      <c r="C18" s="10"/>
      <c r="D18" s="10"/>
      <c r="E18" s="10"/>
      <c r="F18" s="10"/>
      <c r="G18" s="10"/>
      <c r="H18" s="10"/>
      <c r="J18" s="27">
        <f>J17*N15</f>
        <v>17716.29479</v>
      </c>
      <c r="K18" s="10"/>
      <c r="L18" s="10"/>
      <c r="M18" s="10"/>
      <c r="N18" s="10"/>
      <c r="O18" s="10"/>
      <c r="P18" s="10"/>
      <c r="Q18" s="27">
        <f>Q17*U15</f>
        <v>23683.19541</v>
      </c>
      <c r="R18" s="10"/>
      <c r="S18" s="10"/>
      <c r="T18" s="10"/>
      <c r="U18" s="10"/>
      <c r="V18" s="10"/>
      <c r="W18" s="10"/>
      <c r="X18" s="27">
        <f>X17*AB15</f>
        <v>30582.7107</v>
      </c>
      <c r="Y18" s="10"/>
      <c r="Z18" s="10"/>
      <c r="AA18" s="10"/>
      <c r="AB18" s="10"/>
      <c r="AC18" s="10"/>
      <c r="AD18" s="10"/>
      <c r="AE18" s="27">
        <f>AE17*AI15</f>
        <v>23654.79963</v>
      </c>
      <c r="AF18" s="10"/>
      <c r="AG18" s="10"/>
      <c r="AH18" s="10"/>
      <c r="AI18" s="10"/>
    </row>
    <row r="19">
      <c r="A19" s="10"/>
      <c r="B19" s="10"/>
      <c r="C19" s="10"/>
      <c r="D19" s="10"/>
      <c r="E19" s="10"/>
      <c r="F19" s="10"/>
      <c r="G19" s="10"/>
      <c r="H19" s="10"/>
      <c r="J19" s="27">
        <f>SUM(J16:N16)+J18</f>
        <v>26061.01208</v>
      </c>
      <c r="K19" s="10"/>
      <c r="L19" s="10"/>
      <c r="M19" s="10"/>
      <c r="N19" s="10"/>
      <c r="O19" s="10"/>
      <c r="P19" s="10"/>
      <c r="Q19" s="27">
        <f>SUM(Q16:U16)+Q18</f>
        <v>32704.37942</v>
      </c>
      <c r="R19" s="10"/>
      <c r="S19" s="10"/>
      <c r="T19" s="10"/>
      <c r="U19" s="10"/>
      <c r="V19" s="10"/>
      <c r="W19" s="10"/>
      <c r="X19" s="27">
        <f>SUM(X16:AB16)+X18</f>
        <v>40111.3891</v>
      </c>
      <c r="Y19" s="10"/>
      <c r="Z19" s="10"/>
      <c r="AA19" s="10"/>
      <c r="AB19" s="10"/>
      <c r="AC19" s="10"/>
      <c r="AD19" s="10"/>
      <c r="AE19" s="27">
        <f>SUM(AE16:AI16)+AE18</f>
        <v>32674.38375</v>
      </c>
      <c r="AF19" s="10"/>
      <c r="AG19" s="10"/>
      <c r="AH19" s="10"/>
      <c r="AI19" s="10"/>
    </row>
    <row r="20">
      <c r="A20" s="10"/>
      <c r="B20" s="10"/>
      <c r="C20" s="10"/>
      <c r="D20" s="10"/>
      <c r="E20" s="10"/>
      <c r="F20" s="10"/>
      <c r="G20" s="10"/>
      <c r="H20" s="10"/>
      <c r="J20" s="41">
        <f>J19-WACC!$B$8</f>
        <v>23716.01208</v>
      </c>
      <c r="K20" s="10"/>
      <c r="L20" s="10"/>
      <c r="M20" s="10"/>
      <c r="N20" s="10"/>
      <c r="O20" s="10"/>
      <c r="P20" s="10"/>
      <c r="Q20" s="41">
        <f>Q19-WACC!$B$8</f>
        <v>30359.37942</v>
      </c>
      <c r="R20" s="10"/>
      <c r="S20" s="10"/>
      <c r="T20" s="10"/>
      <c r="U20" s="10"/>
      <c r="V20" s="10"/>
      <c r="W20" s="10"/>
      <c r="X20" s="41">
        <f>X19-WACC!$B$8</f>
        <v>37766.3891</v>
      </c>
      <c r="Y20" s="10"/>
      <c r="Z20" s="10"/>
      <c r="AA20" s="10"/>
      <c r="AB20" s="10"/>
      <c r="AC20" s="10"/>
      <c r="AD20" s="10"/>
      <c r="AE20" s="41">
        <f>AE19-WACC!$B$8</f>
        <v>30329.38375</v>
      </c>
      <c r="AF20" s="10"/>
      <c r="AG20" s="10"/>
      <c r="AH20" s="10"/>
      <c r="AI20" s="10"/>
    </row>
    <row r="21" ht="15.75" customHeight="1">
      <c r="A21" s="10"/>
      <c r="B21" s="10"/>
      <c r="C21" s="10"/>
      <c r="D21" s="10"/>
      <c r="E21" s="10"/>
      <c r="F21" s="10"/>
      <c r="G21" s="10"/>
      <c r="H21" s="10"/>
      <c r="J21" s="27">
        <f>J20/WACC!$B$6</f>
        <v>34.6350616</v>
      </c>
      <c r="K21" s="10"/>
      <c r="L21" s="10"/>
      <c r="M21" s="10"/>
      <c r="N21" s="10"/>
      <c r="O21" s="10"/>
      <c r="P21" s="10"/>
      <c r="Q21" s="27">
        <f>Q20/WACC!$B$6</f>
        <v>44.33709061</v>
      </c>
      <c r="R21" s="10"/>
      <c r="S21" s="10"/>
      <c r="T21" s="10"/>
      <c r="U21" s="10"/>
      <c r="V21" s="10"/>
      <c r="W21" s="10"/>
      <c r="X21" s="27">
        <f>X20/WACC!$B$6</f>
        <v>55.15434924</v>
      </c>
      <c r="Y21" s="10"/>
      <c r="Z21" s="10"/>
      <c r="AA21" s="10"/>
      <c r="AB21" s="10"/>
      <c r="AC21" s="10"/>
      <c r="AD21" s="10"/>
      <c r="AE21" s="27">
        <f>AE20/WACC!$B$6</f>
        <v>44.29328468</v>
      </c>
      <c r="AF21" s="10"/>
      <c r="AG21" s="10"/>
      <c r="AH21" s="10"/>
      <c r="AI21" s="10"/>
    </row>
    <row r="22" ht="15.75" customHeight="1">
      <c r="A22" s="10"/>
      <c r="B22" s="10"/>
      <c r="C22" s="10"/>
      <c r="D22" s="10"/>
      <c r="E22" s="10"/>
      <c r="F22" s="10"/>
      <c r="G22" s="10"/>
      <c r="H22" s="10"/>
      <c r="J22" s="27">
        <f>J21/WACC!$B$5-1</f>
        <v>0.07428851126</v>
      </c>
      <c r="K22" s="10"/>
      <c r="L22" s="10"/>
      <c r="M22" s="10"/>
      <c r="N22" s="10"/>
      <c r="O22" s="10"/>
      <c r="P22" s="10"/>
      <c r="Q22" s="27">
        <f>Q21/WACC!$B$5-1</f>
        <v>0.3752199319</v>
      </c>
      <c r="R22" s="10"/>
      <c r="S22" s="10"/>
      <c r="T22" s="10"/>
      <c r="U22" s="10"/>
      <c r="V22" s="10"/>
      <c r="W22" s="10"/>
      <c r="X22" s="27">
        <f>X21/WACC!$B$5-1</f>
        <v>0.7107428426</v>
      </c>
      <c r="Y22" s="10"/>
      <c r="Z22" s="10"/>
      <c r="AA22" s="10"/>
      <c r="AB22" s="10"/>
      <c r="AC22" s="10"/>
      <c r="AD22" s="10"/>
      <c r="AE22" s="27">
        <f>AE21/WACC!$B$5-1</f>
        <v>0.3738611875</v>
      </c>
      <c r="AF22" s="10"/>
      <c r="AG22" s="10"/>
      <c r="AH22" s="10"/>
      <c r="AI22" s="10"/>
    </row>
    <row r="23" ht="15.75" customHeight="1">
      <c r="A23" s="10"/>
      <c r="B23" s="10"/>
      <c r="C23" s="10"/>
      <c r="D23" s="10"/>
      <c r="E23" s="10"/>
      <c r="F23" s="10"/>
      <c r="G23" s="10"/>
      <c r="H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</row>
    <row r="24" ht="15.75" customHeight="1">
      <c r="A24" s="10"/>
      <c r="B24" s="10"/>
      <c r="C24" s="10"/>
      <c r="D24" s="10"/>
      <c r="E24" s="10"/>
      <c r="F24" s="10"/>
      <c r="G24" s="10"/>
      <c r="H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</row>
    <row r="25" ht="15.75" customHeight="1">
      <c r="A25" s="10"/>
      <c r="B25" s="10"/>
      <c r="C25" s="10"/>
      <c r="D25" s="10"/>
      <c r="E25" s="10"/>
      <c r="F25" s="10"/>
      <c r="G25" s="10"/>
      <c r="H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</row>
    <row r="26" ht="15.75" customHeight="1">
      <c r="A26" s="10"/>
      <c r="B26" s="10"/>
      <c r="C26" s="10"/>
      <c r="D26" s="10"/>
      <c r="E26" s="10"/>
      <c r="F26" s="10"/>
      <c r="G26" s="10"/>
      <c r="H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</row>
    <row r="27" ht="15.75" customHeight="1">
      <c r="A27" s="10"/>
      <c r="B27" s="10"/>
      <c r="C27" s="10"/>
      <c r="D27" s="10"/>
      <c r="E27" s="10"/>
      <c r="F27" s="10"/>
      <c r="G27" s="10"/>
      <c r="H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</row>
    <row r="28" ht="15.75" customHeight="1">
      <c r="A28" s="10"/>
      <c r="B28" s="10"/>
      <c r="C28" s="10"/>
      <c r="D28" s="10"/>
      <c r="E28" s="10"/>
      <c r="F28" s="10"/>
      <c r="G28" s="10"/>
      <c r="H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</row>
    <row r="29" ht="15.75" customHeight="1">
      <c r="A29" s="10"/>
      <c r="B29" s="10"/>
      <c r="C29" s="10"/>
      <c r="D29" s="10"/>
      <c r="E29" s="10"/>
      <c r="F29" s="10"/>
      <c r="G29" s="10"/>
      <c r="H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</row>
    <row r="30" ht="15.75" customHeight="1">
      <c r="A30" s="10"/>
      <c r="B30" s="10"/>
      <c r="C30" s="10"/>
      <c r="D30" s="10"/>
      <c r="E30" s="10"/>
      <c r="F30" s="10"/>
      <c r="G30" s="10"/>
      <c r="H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</row>
    <row r="31" ht="15.75" customHeight="1">
      <c r="A31" s="10"/>
      <c r="B31" s="10"/>
      <c r="C31" s="10"/>
      <c r="D31" s="10"/>
      <c r="E31" s="10"/>
      <c r="F31" s="10"/>
      <c r="G31" s="10"/>
      <c r="H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</row>
    <row r="32" ht="15.75" customHeight="1">
      <c r="A32" s="10"/>
      <c r="B32" s="10"/>
      <c r="C32" s="10"/>
      <c r="D32" s="10"/>
      <c r="E32" s="10"/>
      <c r="F32" s="10"/>
      <c r="G32" s="10"/>
      <c r="H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</row>
    <row r="33" ht="15.75" customHeight="1">
      <c r="A33" s="10"/>
      <c r="B33" s="10"/>
      <c r="C33" s="10"/>
      <c r="D33" s="10"/>
      <c r="E33" s="10"/>
      <c r="F33" s="10"/>
      <c r="G33" s="10"/>
      <c r="H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</row>
    <row r="34" ht="15.75" customHeight="1">
      <c r="A34" s="10"/>
      <c r="B34" s="10"/>
      <c r="C34" s="10"/>
      <c r="D34" s="10"/>
      <c r="E34" s="10"/>
      <c r="F34" s="10"/>
      <c r="G34" s="10"/>
      <c r="H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</row>
    <row r="35" ht="15.75" customHeight="1">
      <c r="A35" s="10"/>
      <c r="B35" s="10"/>
      <c r="C35" s="10"/>
      <c r="D35" s="10"/>
      <c r="E35" s="10"/>
      <c r="F35" s="10"/>
      <c r="G35" s="10"/>
      <c r="H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</row>
    <row r="36" ht="15.75" customHeight="1">
      <c r="A36" s="10"/>
      <c r="B36" s="10"/>
      <c r="C36" s="10"/>
      <c r="D36" s="10"/>
      <c r="E36" s="10"/>
      <c r="F36" s="10"/>
      <c r="G36" s="10"/>
      <c r="H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</row>
    <row r="37" ht="15.75" customHeight="1">
      <c r="A37" s="10"/>
      <c r="B37" s="10"/>
      <c r="C37" s="10"/>
      <c r="D37" s="10"/>
      <c r="E37" s="10"/>
      <c r="F37" s="10"/>
      <c r="G37" s="10"/>
      <c r="H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</row>
    <row r="38" ht="15.75" customHeight="1">
      <c r="A38" s="10"/>
      <c r="B38" s="10"/>
      <c r="C38" s="10"/>
      <c r="D38" s="10"/>
      <c r="E38" s="10"/>
      <c r="F38" s="10"/>
      <c r="G38" s="10"/>
      <c r="H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</row>
    <row r="39" ht="15.75" customHeight="1">
      <c r="A39" s="10"/>
      <c r="B39" s="10"/>
      <c r="C39" s="10"/>
      <c r="D39" s="10"/>
      <c r="E39" s="10"/>
      <c r="F39" s="10"/>
      <c r="G39" s="10"/>
      <c r="H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</row>
    <row r="40" ht="15.75" customHeight="1">
      <c r="A40" s="10"/>
      <c r="B40" s="10"/>
      <c r="C40" s="10"/>
      <c r="D40" s="10"/>
      <c r="E40" s="10"/>
      <c r="F40" s="10"/>
      <c r="G40" s="10"/>
      <c r="H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</row>
    <row r="41" ht="15.75" customHeight="1">
      <c r="A41" s="10"/>
      <c r="B41" s="10"/>
      <c r="C41" s="10"/>
      <c r="D41" s="10"/>
      <c r="E41" s="10"/>
      <c r="F41" s="10"/>
      <c r="G41" s="10"/>
      <c r="H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</row>
    <row r="42" ht="15.75" customHeight="1">
      <c r="A42" s="10"/>
      <c r="B42" s="10"/>
      <c r="C42" s="10"/>
      <c r="D42" s="10"/>
      <c r="E42" s="10"/>
      <c r="F42" s="10"/>
      <c r="G42" s="10"/>
      <c r="H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</row>
    <row r="43" ht="15.75" customHeight="1">
      <c r="A43" s="10"/>
      <c r="B43" s="10"/>
      <c r="C43" s="10"/>
      <c r="D43" s="10"/>
      <c r="E43" s="10"/>
      <c r="F43" s="10"/>
      <c r="G43" s="10"/>
      <c r="H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</row>
    <row r="44" ht="15.75" customHeight="1">
      <c r="A44" s="10"/>
      <c r="B44" s="10"/>
      <c r="C44" s="10"/>
      <c r="D44" s="10"/>
      <c r="E44" s="10"/>
      <c r="F44" s="10"/>
      <c r="G44" s="10"/>
      <c r="H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</row>
    <row r="45" ht="15.75" customHeight="1">
      <c r="A45" s="10"/>
      <c r="B45" s="10"/>
      <c r="C45" s="10"/>
      <c r="D45" s="10"/>
      <c r="E45" s="10"/>
      <c r="F45" s="10"/>
      <c r="G45" s="10"/>
      <c r="H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</row>
    <row r="46" ht="15.75" customHeight="1">
      <c r="A46" s="10"/>
      <c r="B46" s="10"/>
      <c r="C46" s="10"/>
      <c r="D46" s="10"/>
      <c r="E46" s="10"/>
      <c r="F46" s="10"/>
      <c r="G46" s="10"/>
      <c r="H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</row>
    <row r="47" ht="15.75" customHeight="1">
      <c r="A47" s="10"/>
      <c r="B47" s="10"/>
      <c r="C47" s="10"/>
      <c r="D47" s="10"/>
      <c r="E47" s="10"/>
      <c r="F47" s="10"/>
      <c r="G47" s="10"/>
      <c r="H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</row>
    <row r="48" ht="15.75" customHeight="1">
      <c r="A48" s="10"/>
      <c r="B48" s="10"/>
      <c r="C48" s="10"/>
      <c r="D48" s="10"/>
      <c r="E48" s="10"/>
      <c r="F48" s="10"/>
      <c r="G48" s="10"/>
      <c r="H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</row>
    <row r="49" ht="15.75" customHeight="1">
      <c r="A49" s="10"/>
      <c r="B49" s="10"/>
      <c r="C49" s="10"/>
      <c r="D49" s="10"/>
      <c r="E49" s="10"/>
      <c r="F49" s="10"/>
      <c r="G49" s="10"/>
      <c r="H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</row>
    <row r="50" ht="15.75" customHeight="1">
      <c r="A50" s="10"/>
      <c r="B50" s="10"/>
      <c r="C50" s="10"/>
      <c r="D50" s="10"/>
      <c r="E50" s="10"/>
      <c r="F50" s="10"/>
      <c r="G50" s="10"/>
      <c r="H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</row>
    <row r="51" ht="15.75" customHeight="1">
      <c r="A51" s="10"/>
      <c r="B51" s="10"/>
      <c r="C51" s="10"/>
      <c r="D51" s="10"/>
      <c r="E51" s="10"/>
      <c r="F51" s="10"/>
      <c r="G51" s="10"/>
      <c r="H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</row>
    <row r="52" ht="15.75" customHeight="1">
      <c r="A52" s="10"/>
      <c r="B52" s="10"/>
      <c r="C52" s="10"/>
      <c r="D52" s="10"/>
      <c r="E52" s="10"/>
      <c r="F52" s="10"/>
      <c r="G52" s="10"/>
      <c r="H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</row>
    <row r="53" ht="15.75" customHeight="1">
      <c r="A53" s="10"/>
      <c r="B53" s="10"/>
      <c r="C53" s="10"/>
      <c r="D53" s="10"/>
      <c r="E53" s="10"/>
      <c r="F53" s="10"/>
      <c r="G53" s="10"/>
      <c r="H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</row>
    <row r="54" ht="15.75" customHeight="1">
      <c r="A54" s="10"/>
      <c r="B54" s="10"/>
      <c r="C54" s="10"/>
      <c r="D54" s="10"/>
      <c r="E54" s="10"/>
      <c r="F54" s="10"/>
      <c r="G54" s="10"/>
      <c r="H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</row>
    <row r="55" ht="15.75" customHeight="1">
      <c r="A55" s="10"/>
      <c r="B55" s="10"/>
      <c r="C55" s="10"/>
      <c r="D55" s="10"/>
      <c r="E55" s="10"/>
      <c r="F55" s="10"/>
      <c r="G55" s="10"/>
      <c r="H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</row>
    <row r="56" ht="15.75" customHeight="1">
      <c r="A56" s="10"/>
      <c r="B56" s="10"/>
      <c r="C56" s="10"/>
      <c r="D56" s="10"/>
      <c r="E56" s="10"/>
      <c r="F56" s="10"/>
      <c r="G56" s="10"/>
      <c r="H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</row>
    <row r="57" ht="15.75" customHeight="1">
      <c r="A57" s="10"/>
      <c r="B57" s="10"/>
      <c r="C57" s="10"/>
      <c r="D57" s="10"/>
      <c r="E57" s="10"/>
      <c r="F57" s="10"/>
      <c r="G57" s="10"/>
      <c r="H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</row>
    <row r="58" ht="15.75" customHeight="1">
      <c r="A58" s="10"/>
      <c r="B58" s="10"/>
      <c r="C58" s="10"/>
      <c r="D58" s="10"/>
      <c r="E58" s="10"/>
      <c r="F58" s="10"/>
      <c r="G58" s="10"/>
      <c r="H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</row>
    <row r="59" ht="15.75" customHeight="1">
      <c r="A59" s="10"/>
      <c r="B59" s="10"/>
      <c r="C59" s="10"/>
      <c r="D59" s="10"/>
      <c r="E59" s="10"/>
      <c r="F59" s="10"/>
      <c r="G59" s="10"/>
      <c r="H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</row>
    <row r="60" ht="15.75" customHeight="1">
      <c r="A60" s="10"/>
      <c r="B60" s="10"/>
      <c r="C60" s="10"/>
      <c r="D60" s="10"/>
      <c r="E60" s="10"/>
      <c r="F60" s="10"/>
      <c r="G60" s="10"/>
      <c r="H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</row>
    <row r="61" ht="15.75" customHeight="1">
      <c r="A61" s="10"/>
      <c r="B61" s="10"/>
      <c r="C61" s="10"/>
      <c r="D61" s="10"/>
      <c r="E61" s="10"/>
      <c r="F61" s="10"/>
      <c r="G61" s="10"/>
      <c r="H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</row>
    <row r="62" ht="15.75" customHeight="1">
      <c r="A62" s="10"/>
      <c r="B62" s="10"/>
      <c r="C62" s="10"/>
      <c r="D62" s="10"/>
      <c r="E62" s="10"/>
      <c r="F62" s="10"/>
      <c r="G62" s="10"/>
      <c r="H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</row>
    <row r="63" ht="15.75" customHeight="1">
      <c r="A63" s="10"/>
      <c r="B63" s="10"/>
      <c r="C63" s="10"/>
      <c r="D63" s="10"/>
      <c r="E63" s="10"/>
      <c r="F63" s="10"/>
      <c r="G63" s="10"/>
      <c r="H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</row>
    <row r="64" ht="15.75" customHeight="1">
      <c r="A64" s="10"/>
      <c r="B64" s="10"/>
      <c r="C64" s="10"/>
      <c r="D64" s="10"/>
      <c r="E64" s="10"/>
      <c r="F64" s="10"/>
      <c r="G64" s="10"/>
      <c r="H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</row>
    <row r="65" ht="15.75" customHeight="1">
      <c r="A65" s="10"/>
      <c r="B65" s="10"/>
      <c r="C65" s="10"/>
      <c r="D65" s="10"/>
      <c r="E65" s="10"/>
      <c r="F65" s="10"/>
      <c r="G65" s="10"/>
      <c r="H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</row>
    <row r="66" ht="15.75" customHeight="1">
      <c r="A66" s="10"/>
      <c r="B66" s="10"/>
      <c r="C66" s="10"/>
      <c r="D66" s="10"/>
      <c r="E66" s="10"/>
      <c r="F66" s="10"/>
      <c r="G66" s="10"/>
      <c r="H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</row>
    <row r="67" ht="15.75" customHeight="1">
      <c r="A67" s="10"/>
      <c r="B67" s="10"/>
      <c r="C67" s="10"/>
      <c r="D67" s="10"/>
      <c r="E67" s="10"/>
      <c r="F67" s="10"/>
      <c r="G67" s="10"/>
      <c r="H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</row>
    <row r="68" ht="15.75" customHeight="1">
      <c r="A68" s="10"/>
      <c r="B68" s="10"/>
      <c r="C68" s="10"/>
      <c r="D68" s="10"/>
      <c r="E68" s="10"/>
      <c r="F68" s="10"/>
      <c r="G68" s="10"/>
      <c r="H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</row>
    <row r="69" ht="15.75" customHeight="1">
      <c r="A69" s="10"/>
      <c r="B69" s="10"/>
      <c r="C69" s="10"/>
      <c r="D69" s="10"/>
      <c r="E69" s="10"/>
      <c r="F69" s="10"/>
      <c r="G69" s="10"/>
      <c r="H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</row>
    <row r="70" ht="15.75" customHeight="1">
      <c r="A70" s="10"/>
      <c r="B70" s="10"/>
      <c r="C70" s="10"/>
      <c r="D70" s="10"/>
      <c r="E70" s="10"/>
      <c r="F70" s="10"/>
      <c r="G70" s="10"/>
      <c r="H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</row>
    <row r="71" ht="15.75" customHeight="1">
      <c r="A71" s="10"/>
      <c r="B71" s="10"/>
      <c r="C71" s="10"/>
      <c r="D71" s="10"/>
      <c r="E71" s="10"/>
      <c r="F71" s="10"/>
      <c r="G71" s="10"/>
      <c r="H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</row>
    <row r="72" ht="15.75" customHeight="1">
      <c r="A72" s="10"/>
      <c r="B72" s="10"/>
      <c r="C72" s="10"/>
      <c r="D72" s="10"/>
      <c r="E72" s="10"/>
      <c r="F72" s="10"/>
      <c r="G72" s="10"/>
      <c r="H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</row>
    <row r="73" ht="15.75" customHeight="1">
      <c r="A73" s="10"/>
      <c r="B73" s="10"/>
      <c r="C73" s="10"/>
      <c r="D73" s="10"/>
      <c r="E73" s="10"/>
      <c r="F73" s="10"/>
      <c r="G73" s="10"/>
      <c r="H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</row>
    <row r="74" ht="15.75" customHeight="1">
      <c r="A74" s="10"/>
      <c r="B74" s="10"/>
      <c r="C74" s="10"/>
      <c r="D74" s="10"/>
      <c r="E74" s="10"/>
      <c r="F74" s="10"/>
      <c r="G74" s="10"/>
      <c r="H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</row>
    <row r="75" ht="15.75" customHeight="1">
      <c r="A75" s="10"/>
      <c r="B75" s="10"/>
      <c r="C75" s="10"/>
      <c r="D75" s="10"/>
      <c r="E75" s="10"/>
      <c r="F75" s="10"/>
      <c r="G75" s="10"/>
      <c r="H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</row>
    <row r="76" ht="15.75" customHeight="1">
      <c r="A76" s="10"/>
      <c r="B76" s="10"/>
      <c r="C76" s="10"/>
      <c r="D76" s="10"/>
      <c r="E76" s="10"/>
      <c r="F76" s="10"/>
      <c r="G76" s="10"/>
      <c r="H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</row>
    <row r="77" ht="15.75" customHeight="1">
      <c r="A77" s="10"/>
      <c r="B77" s="10"/>
      <c r="C77" s="10"/>
      <c r="D77" s="10"/>
      <c r="E77" s="10"/>
      <c r="F77" s="10"/>
      <c r="G77" s="10"/>
      <c r="H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</row>
    <row r="78" ht="15.75" customHeight="1">
      <c r="A78" s="10"/>
      <c r="B78" s="10"/>
      <c r="C78" s="10"/>
      <c r="D78" s="10"/>
      <c r="E78" s="10"/>
      <c r="F78" s="10"/>
      <c r="G78" s="10"/>
      <c r="H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</row>
    <row r="79" ht="15.75" customHeight="1">
      <c r="A79" s="10"/>
      <c r="B79" s="10"/>
      <c r="C79" s="10"/>
      <c r="D79" s="10"/>
      <c r="E79" s="10"/>
      <c r="F79" s="10"/>
      <c r="G79" s="10"/>
      <c r="H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</row>
    <row r="80" ht="15.75" customHeight="1">
      <c r="A80" s="10"/>
      <c r="B80" s="10"/>
      <c r="C80" s="10"/>
      <c r="D80" s="10"/>
      <c r="E80" s="10"/>
      <c r="F80" s="10"/>
      <c r="G80" s="10"/>
      <c r="H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</row>
    <row r="81" ht="15.75" customHeight="1">
      <c r="A81" s="10"/>
      <c r="B81" s="10"/>
      <c r="C81" s="10"/>
      <c r="D81" s="10"/>
      <c r="E81" s="10"/>
      <c r="F81" s="10"/>
      <c r="G81" s="10"/>
      <c r="H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</row>
    <row r="82" ht="15.75" customHeight="1">
      <c r="A82" s="10"/>
      <c r="B82" s="10"/>
      <c r="C82" s="10"/>
      <c r="D82" s="10"/>
      <c r="E82" s="10"/>
      <c r="F82" s="10"/>
      <c r="G82" s="10"/>
      <c r="H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</row>
    <row r="83" ht="15.75" customHeight="1">
      <c r="A83" s="10"/>
      <c r="B83" s="10"/>
      <c r="C83" s="10"/>
      <c r="D83" s="10"/>
      <c r="E83" s="10"/>
      <c r="F83" s="10"/>
      <c r="G83" s="10"/>
      <c r="H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</row>
    <row r="84" ht="15.75" customHeight="1">
      <c r="A84" s="10"/>
      <c r="B84" s="10"/>
      <c r="C84" s="10"/>
      <c r="D84" s="10"/>
      <c r="E84" s="10"/>
      <c r="F84" s="10"/>
      <c r="G84" s="10"/>
      <c r="H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</row>
    <row r="85" ht="15.75" customHeight="1">
      <c r="A85" s="10"/>
      <c r="B85" s="10"/>
      <c r="C85" s="10"/>
      <c r="D85" s="10"/>
      <c r="E85" s="10"/>
      <c r="F85" s="10"/>
      <c r="G85" s="10"/>
      <c r="H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</row>
    <row r="86" ht="15.75" customHeight="1">
      <c r="A86" s="10"/>
      <c r="B86" s="10"/>
      <c r="C86" s="10"/>
      <c r="D86" s="10"/>
      <c r="E86" s="10"/>
      <c r="F86" s="10"/>
      <c r="G86" s="10"/>
      <c r="H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</row>
    <row r="87" ht="15.75" customHeight="1">
      <c r="A87" s="10"/>
      <c r="B87" s="10"/>
      <c r="C87" s="10"/>
      <c r="D87" s="10"/>
      <c r="E87" s="10"/>
      <c r="F87" s="10"/>
      <c r="G87" s="10"/>
      <c r="H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</row>
    <row r="88" ht="15.75" customHeight="1">
      <c r="A88" s="10"/>
      <c r="B88" s="10"/>
      <c r="C88" s="10"/>
      <c r="D88" s="10"/>
      <c r="E88" s="10"/>
      <c r="F88" s="10"/>
      <c r="G88" s="10"/>
      <c r="H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</row>
    <row r="89" ht="15.75" customHeight="1">
      <c r="A89" s="10"/>
      <c r="B89" s="10"/>
      <c r="C89" s="10"/>
      <c r="D89" s="10"/>
      <c r="E89" s="10"/>
      <c r="F89" s="10"/>
      <c r="G89" s="10"/>
      <c r="H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</row>
    <row r="90" ht="15.75" customHeight="1">
      <c r="A90" s="10"/>
      <c r="B90" s="10"/>
      <c r="C90" s="10"/>
      <c r="D90" s="10"/>
      <c r="E90" s="10"/>
      <c r="F90" s="10"/>
      <c r="G90" s="10"/>
      <c r="H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</row>
    <row r="91" ht="15.75" customHeight="1">
      <c r="A91" s="10"/>
      <c r="B91" s="10"/>
      <c r="C91" s="10"/>
      <c r="D91" s="10"/>
      <c r="E91" s="10"/>
      <c r="F91" s="10"/>
      <c r="G91" s="10"/>
      <c r="H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</row>
    <row r="92" ht="15.75" customHeight="1">
      <c r="A92" s="10"/>
      <c r="B92" s="10"/>
      <c r="C92" s="10"/>
      <c r="D92" s="10"/>
      <c r="E92" s="10"/>
      <c r="F92" s="10"/>
      <c r="G92" s="10"/>
      <c r="H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</row>
    <row r="93" ht="15.75" customHeight="1">
      <c r="A93" s="10"/>
      <c r="B93" s="10"/>
      <c r="C93" s="10"/>
      <c r="D93" s="10"/>
      <c r="E93" s="10"/>
      <c r="F93" s="10"/>
      <c r="G93" s="10"/>
      <c r="H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</row>
    <row r="94" ht="15.75" customHeight="1">
      <c r="A94" s="10"/>
      <c r="B94" s="10"/>
      <c r="C94" s="10"/>
      <c r="D94" s="10"/>
      <c r="E94" s="10"/>
      <c r="F94" s="10"/>
      <c r="G94" s="10"/>
      <c r="H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</row>
    <row r="95" ht="15.75" customHeight="1">
      <c r="A95" s="10"/>
      <c r="B95" s="10"/>
      <c r="C95" s="10"/>
      <c r="D95" s="10"/>
      <c r="E95" s="10"/>
      <c r="F95" s="10"/>
      <c r="G95" s="10"/>
      <c r="H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</row>
    <row r="96" ht="15.75" customHeight="1">
      <c r="A96" s="10"/>
      <c r="B96" s="10"/>
      <c r="C96" s="10"/>
      <c r="D96" s="10"/>
      <c r="E96" s="10"/>
      <c r="F96" s="10"/>
      <c r="G96" s="10"/>
      <c r="H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</row>
    <row r="97" ht="15.75" customHeight="1">
      <c r="A97" s="10"/>
      <c r="B97" s="10"/>
      <c r="C97" s="10"/>
      <c r="D97" s="10"/>
      <c r="E97" s="10"/>
      <c r="F97" s="10"/>
      <c r="G97" s="10"/>
      <c r="H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</row>
    <row r="98" ht="15.75" customHeight="1">
      <c r="A98" s="10"/>
      <c r="B98" s="10"/>
      <c r="C98" s="10"/>
      <c r="D98" s="10"/>
      <c r="E98" s="10"/>
      <c r="F98" s="10"/>
      <c r="G98" s="10"/>
      <c r="H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</row>
    <row r="99" ht="15.75" customHeight="1">
      <c r="A99" s="10"/>
      <c r="B99" s="10"/>
      <c r="C99" s="10"/>
      <c r="D99" s="10"/>
      <c r="E99" s="10"/>
      <c r="F99" s="10"/>
      <c r="G99" s="10"/>
      <c r="H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</row>
    <row r="100" ht="15.75" customHeight="1">
      <c r="A100" s="10"/>
      <c r="B100" s="10"/>
      <c r="C100" s="10"/>
      <c r="D100" s="10"/>
      <c r="E100" s="10"/>
      <c r="F100" s="10"/>
      <c r="G100" s="10"/>
      <c r="H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</row>
    <row r="101" ht="15.75" customHeight="1">
      <c r="A101" s="10"/>
      <c r="B101" s="10"/>
      <c r="C101" s="10"/>
      <c r="D101" s="10"/>
      <c r="E101" s="10"/>
      <c r="F101" s="10"/>
      <c r="G101" s="10"/>
      <c r="H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</row>
    <row r="102" ht="15.75" customHeight="1">
      <c r="A102" s="10"/>
      <c r="B102" s="10"/>
      <c r="C102" s="10"/>
      <c r="D102" s="10"/>
      <c r="E102" s="10"/>
      <c r="F102" s="10"/>
      <c r="G102" s="10"/>
      <c r="H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</row>
    <row r="103" ht="15.75" customHeight="1">
      <c r="A103" s="10"/>
      <c r="B103" s="10"/>
      <c r="C103" s="10"/>
      <c r="D103" s="10"/>
      <c r="E103" s="10"/>
      <c r="F103" s="10"/>
      <c r="G103" s="10"/>
      <c r="H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</row>
    <row r="104" ht="15.75" customHeight="1">
      <c r="A104" s="10"/>
      <c r="B104" s="10"/>
      <c r="C104" s="10"/>
      <c r="D104" s="10"/>
      <c r="E104" s="10"/>
      <c r="F104" s="10"/>
      <c r="G104" s="10"/>
      <c r="H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</row>
    <row r="105" ht="15.75" customHeight="1">
      <c r="A105" s="10"/>
      <c r="B105" s="10"/>
      <c r="C105" s="10"/>
      <c r="D105" s="10"/>
      <c r="E105" s="10"/>
      <c r="F105" s="10"/>
      <c r="G105" s="10"/>
      <c r="H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</row>
    <row r="106" ht="15.75" customHeight="1">
      <c r="A106" s="10"/>
      <c r="B106" s="10"/>
      <c r="C106" s="10"/>
      <c r="D106" s="10"/>
      <c r="E106" s="10"/>
      <c r="F106" s="10"/>
      <c r="G106" s="10"/>
      <c r="H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</row>
    <row r="107" ht="15.75" customHeight="1">
      <c r="A107" s="10"/>
      <c r="B107" s="10"/>
      <c r="C107" s="10"/>
      <c r="D107" s="10"/>
      <c r="E107" s="10"/>
      <c r="F107" s="10"/>
      <c r="G107" s="10"/>
      <c r="H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</row>
    <row r="108" ht="15.75" customHeight="1">
      <c r="A108" s="10"/>
      <c r="B108" s="10"/>
      <c r="C108" s="10"/>
      <c r="D108" s="10"/>
      <c r="E108" s="10"/>
      <c r="F108" s="10"/>
      <c r="G108" s="10"/>
      <c r="H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</row>
    <row r="109" ht="15.75" customHeight="1">
      <c r="A109" s="10"/>
      <c r="B109" s="10"/>
      <c r="C109" s="10"/>
      <c r="D109" s="10"/>
      <c r="E109" s="10"/>
      <c r="F109" s="10"/>
      <c r="G109" s="10"/>
      <c r="H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</row>
    <row r="110" ht="15.75" customHeight="1">
      <c r="A110" s="10"/>
      <c r="B110" s="10"/>
      <c r="C110" s="10"/>
      <c r="D110" s="10"/>
      <c r="E110" s="10"/>
      <c r="F110" s="10"/>
      <c r="G110" s="10"/>
      <c r="H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</row>
    <row r="111" ht="15.75" customHeight="1">
      <c r="A111" s="10"/>
      <c r="B111" s="10"/>
      <c r="C111" s="10"/>
      <c r="D111" s="10"/>
      <c r="E111" s="10"/>
      <c r="F111" s="10"/>
      <c r="G111" s="10"/>
      <c r="H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</row>
    <row r="112" ht="15.75" customHeight="1">
      <c r="A112" s="10"/>
      <c r="B112" s="10"/>
      <c r="C112" s="10"/>
      <c r="D112" s="10"/>
      <c r="E112" s="10"/>
      <c r="F112" s="10"/>
      <c r="G112" s="10"/>
      <c r="H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</row>
    <row r="113" ht="15.75" customHeight="1">
      <c r="A113" s="10"/>
      <c r="B113" s="10"/>
      <c r="C113" s="10"/>
      <c r="D113" s="10"/>
      <c r="E113" s="10"/>
      <c r="F113" s="10"/>
      <c r="G113" s="10"/>
      <c r="H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</row>
    <row r="114" ht="15.75" customHeight="1">
      <c r="A114" s="10"/>
      <c r="B114" s="10"/>
      <c r="C114" s="10"/>
      <c r="D114" s="10"/>
      <c r="E114" s="10"/>
      <c r="F114" s="10"/>
      <c r="G114" s="10"/>
      <c r="H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</row>
    <row r="115" ht="15.75" customHeight="1">
      <c r="A115" s="10"/>
      <c r="B115" s="10"/>
      <c r="C115" s="10"/>
      <c r="D115" s="10"/>
      <c r="E115" s="10"/>
      <c r="F115" s="10"/>
      <c r="G115" s="10"/>
      <c r="H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</row>
    <row r="116" ht="15.75" customHeight="1">
      <c r="A116" s="10"/>
      <c r="B116" s="10"/>
      <c r="C116" s="10"/>
      <c r="D116" s="10"/>
      <c r="E116" s="10"/>
      <c r="F116" s="10"/>
      <c r="G116" s="10"/>
      <c r="H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</row>
    <row r="117" ht="15.75" customHeight="1">
      <c r="A117" s="10"/>
      <c r="B117" s="10"/>
      <c r="C117" s="10"/>
      <c r="D117" s="10"/>
      <c r="E117" s="10"/>
      <c r="F117" s="10"/>
      <c r="G117" s="10"/>
      <c r="H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</row>
    <row r="118" ht="15.75" customHeight="1">
      <c r="A118" s="10"/>
      <c r="B118" s="10"/>
      <c r="C118" s="10"/>
      <c r="D118" s="10"/>
      <c r="E118" s="10"/>
      <c r="F118" s="10"/>
      <c r="G118" s="10"/>
      <c r="H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</row>
    <row r="119" ht="15.75" customHeight="1">
      <c r="A119" s="10"/>
      <c r="B119" s="10"/>
      <c r="C119" s="10"/>
      <c r="D119" s="10"/>
      <c r="E119" s="10"/>
      <c r="F119" s="10"/>
      <c r="G119" s="10"/>
      <c r="H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</row>
    <row r="120" ht="15.75" customHeight="1">
      <c r="A120" s="10"/>
      <c r="B120" s="10"/>
      <c r="C120" s="10"/>
      <c r="D120" s="10"/>
      <c r="E120" s="10"/>
      <c r="F120" s="10"/>
      <c r="G120" s="10"/>
      <c r="H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</row>
    <row r="121" ht="15.75" customHeight="1">
      <c r="A121" s="10"/>
      <c r="B121" s="10"/>
      <c r="C121" s="10"/>
      <c r="D121" s="10"/>
      <c r="E121" s="10"/>
      <c r="F121" s="10"/>
      <c r="G121" s="10"/>
      <c r="H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</row>
    <row r="122" ht="15.75" customHeight="1">
      <c r="A122" s="10"/>
      <c r="B122" s="10"/>
      <c r="C122" s="10"/>
      <c r="D122" s="10"/>
      <c r="E122" s="10"/>
      <c r="F122" s="10"/>
      <c r="G122" s="10"/>
      <c r="H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</row>
    <row r="123" ht="15.75" customHeight="1">
      <c r="A123" s="10"/>
      <c r="B123" s="10"/>
      <c r="C123" s="10"/>
      <c r="D123" s="10"/>
      <c r="E123" s="10"/>
      <c r="F123" s="10"/>
      <c r="G123" s="10"/>
      <c r="H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</row>
    <row r="124" ht="15.75" customHeight="1">
      <c r="A124" s="10"/>
      <c r="B124" s="10"/>
      <c r="C124" s="10"/>
      <c r="D124" s="10"/>
      <c r="E124" s="10"/>
      <c r="F124" s="10"/>
      <c r="G124" s="10"/>
      <c r="H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</row>
    <row r="125" ht="15.75" customHeight="1">
      <c r="A125" s="10"/>
      <c r="B125" s="10"/>
      <c r="C125" s="10"/>
      <c r="D125" s="10"/>
      <c r="E125" s="10"/>
      <c r="F125" s="10"/>
      <c r="G125" s="10"/>
      <c r="H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</row>
    <row r="126" ht="15.75" customHeight="1">
      <c r="A126" s="10"/>
      <c r="B126" s="10"/>
      <c r="C126" s="10"/>
      <c r="D126" s="10"/>
      <c r="E126" s="10"/>
      <c r="F126" s="10"/>
      <c r="G126" s="10"/>
      <c r="H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</row>
    <row r="127" ht="15.75" customHeight="1">
      <c r="A127" s="10"/>
      <c r="B127" s="10"/>
      <c r="C127" s="10"/>
      <c r="D127" s="10"/>
      <c r="E127" s="10"/>
      <c r="F127" s="10"/>
      <c r="G127" s="10"/>
      <c r="H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</row>
    <row r="128" ht="15.75" customHeight="1">
      <c r="A128" s="10"/>
      <c r="B128" s="10"/>
      <c r="C128" s="10"/>
      <c r="D128" s="10"/>
      <c r="E128" s="10"/>
      <c r="F128" s="10"/>
      <c r="G128" s="10"/>
      <c r="H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</row>
    <row r="129" ht="15.75" customHeight="1">
      <c r="A129" s="10"/>
      <c r="B129" s="10"/>
      <c r="C129" s="10"/>
      <c r="D129" s="10"/>
      <c r="E129" s="10"/>
      <c r="F129" s="10"/>
      <c r="G129" s="10"/>
      <c r="H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</row>
    <row r="130" ht="15.75" customHeight="1">
      <c r="A130" s="10"/>
      <c r="B130" s="10"/>
      <c r="C130" s="10"/>
      <c r="D130" s="10"/>
      <c r="E130" s="10"/>
      <c r="F130" s="10"/>
      <c r="G130" s="10"/>
      <c r="H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</row>
    <row r="131" ht="15.75" customHeight="1">
      <c r="A131" s="10"/>
      <c r="B131" s="10"/>
      <c r="C131" s="10"/>
      <c r="D131" s="10"/>
      <c r="E131" s="10"/>
      <c r="F131" s="10"/>
      <c r="G131" s="10"/>
      <c r="H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</row>
    <row r="132" ht="15.75" customHeight="1">
      <c r="A132" s="10"/>
      <c r="B132" s="10"/>
      <c r="C132" s="10"/>
      <c r="D132" s="10"/>
      <c r="E132" s="10"/>
      <c r="F132" s="10"/>
      <c r="G132" s="10"/>
      <c r="H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</row>
    <row r="133" ht="15.75" customHeight="1">
      <c r="A133" s="10"/>
      <c r="B133" s="10"/>
      <c r="C133" s="10"/>
      <c r="D133" s="10"/>
      <c r="E133" s="10"/>
      <c r="F133" s="10"/>
      <c r="G133" s="10"/>
      <c r="H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</row>
    <row r="134" ht="15.75" customHeight="1">
      <c r="A134" s="10"/>
      <c r="B134" s="10"/>
      <c r="C134" s="10"/>
      <c r="D134" s="10"/>
      <c r="E134" s="10"/>
      <c r="F134" s="10"/>
      <c r="G134" s="10"/>
      <c r="H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</row>
    <row r="135" ht="15.75" customHeight="1">
      <c r="A135" s="10"/>
      <c r="B135" s="10"/>
      <c r="C135" s="10"/>
      <c r="D135" s="10"/>
      <c r="E135" s="10"/>
      <c r="F135" s="10"/>
      <c r="G135" s="10"/>
      <c r="H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</row>
    <row r="136" ht="15.75" customHeight="1">
      <c r="A136" s="10"/>
      <c r="B136" s="10"/>
      <c r="C136" s="10"/>
      <c r="D136" s="10"/>
      <c r="E136" s="10"/>
      <c r="F136" s="10"/>
      <c r="G136" s="10"/>
      <c r="H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  <c r="AI136" s="10"/>
    </row>
    <row r="137" ht="15.75" customHeight="1">
      <c r="A137" s="10"/>
      <c r="B137" s="10"/>
      <c r="C137" s="10"/>
      <c r="D137" s="10"/>
      <c r="E137" s="10"/>
      <c r="F137" s="10"/>
      <c r="G137" s="10"/>
      <c r="H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</row>
    <row r="138" ht="15.75" customHeight="1">
      <c r="A138" s="10"/>
      <c r="B138" s="10"/>
      <c r="C138" s="10"/>
      <c r="D138" s="10"/>
      <c r="E138" s="10"/>
      <c r="F138" s="10"/>
      <c r="G138" s="10"/>
      <c r="H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</row>
    <row r="139" ht="15.75" customHeight="1">
      <c r="A139" s="10"/>
      <c r="B139" s="10"/>
      <c r="C139" s="10"/>
      <c r="D139" s="10"/>
      <c r="E139" s="10"/>
      <c r="F139" s="10"/>
      <c r="G139" s="10"/>
      <c r="H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</row>
    <row r="140" ht="15.75" customHeight="1">
      <c r="A140" s="10"/>
      <c r="B140" s="10"/>
      <c r="C140" s="10"/>
      <c r="D140" s="10"/>
      <c r="E140" s="10"/>
      <c r="F140" s="10"/>
      <c r="G140" s="10"/>
      <c r="H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</row>
    <row r="141" ht="15.75" customHeight="1">
      <c r="A141" s="10"/>
      <c r="B141" s="10"/>
      <c r="C141" s="10"/>
      <c r="D141" s="10"/>
      <c r="E141" s="10"/>
      <c r="F141" s="10"/>
      <c r="G141" s="10"/>
      <c r="H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</row>
    <row r="142" ht="15.75" customHeight="1">
      <c r="A142" s="10"/>
      <c r="B142" s="10"/>
      <c r="C142" s="10"/>
      <c r="D142" s="10"/>
      <c r="E142" s="10"/>
      <c r="F142" s="10"/>
      <c r="G142" s="10"/>
      <c r="H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</row>
    <row r="143" ht="15.75" customHeight="1">
      <c r="A143" s="10"/>
      <c r="B143" s="10"/>
      <c r="C143" s="10"/>
      <c r="D143" s="10"/>
      <c r="E143" s="10"/>
      <c r="F143" s="10"/>
      <c r="G143" s="10"/>
      <c r="H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</row>
    <row r="144" ht="15.75" customHeight="1">
      <c r="A144" s="10"/>
      <c r="B144" s="10"/>
      <c r="C144" s="10"/>
      <c r="D144" s="10"/>
      <c r="E144" s="10"/>
      <c r="F144" s="10"/>
      <c r="G144" s="10"/>
      <c r="H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</row>
    <row r="145" ht="15.75" customHeight="1">
      <c r="A145" s="10"/>
      <c r="B145" s="10"/>
      <c r="C145" s="10"/>
      <c r="D145" s="10"/>
      <c r="E145" s="10"/>
      <c r="F145" s="10"/>
      <c r="G145" s="10"/>
      <c r="H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</row>
    <row r="146" ht="15.75" customHeight="1">
      <c r="A146" s="10"/>
      <c r="B146" s="10"/>
      <c r="C146" s="10"/>
      <c r="D146" s="10"/>
      <c r="E146" s="10"/>
      <c r="F146" s="10"/>
      <c r="G146" s="10"/>
      <c r="H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</row>
    <row r="147" ht="15.75" customHeight="1">
      <c r="A147" s="10"/>
      <c r="B147" s="10"/>
      <c r="C147" s="10"/>
      <c r="D147" s="10"/>
      <c r="E147" s="10"/>
      <c r="F147" s="10"/>
      <c r="G147" s="10"/>
      <c r="H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</row>
    <row r="148" ht="15.75" customHeight="1">
      <c r="A148" s="10"/>
      <c r="B148" s="10"/>
      <c r="C148" s="10"/>
      <c r="D148" s="10"/>
      <c r="E148" s="10"/>
      <c r="F148" s="10"/>
      <c r="G148" s="10"/>
      <c r="H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</row>
    <row r="149" ht="15.75" customHeight="1">
      <c r="A149" s="10"/>
      <c r="B149" s="10"/>
      <c r="C149" s="10"/>
      <c r="D149" s="10"/>
      <c r="E149" s="10"/>
      <c r="F149" s="10"/>
      <c r="G149" s="10"/>
      <c r="H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</row>
    <row r="150" ht="15.75" customHeight="1">
      <c r="A150" s="10"/>
      <c r="B150" s="10"/>
      <c r="C150" s="10"/>
      <c r="D150" s="10"/>
      <c r="E150" s="10"/>
      <c r="F150" s="10"/>
      <c r="G150" s="10"/>
      <c r="H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</row>
    <row r="151" ht="15.75" customHeight="1">
      <c r="A151" s="10"/>
      <c r="B151" s="10"/>
      <c r="C151" s="10"/>
      <c r="D151" s="10"/>
      <c r="E151" s="10"/>
      <c r="F151" s="10"/>
      <c r="G151" s="10"/>
      <c r="H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</row>
    <row r="152" ht="15.75" customHeight="1">
      <c r="A152" s="10"/>
      <c r="B152" s="10"/>
      <c r="C152" s="10"/>
      <c r="D152" s="10"/>
      <c r="E152" s="10"/>
      <c r="F152" s="10"/>
      <c r="G152" s="10"/>
      <c r="H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</row>
    <row r="153" ht="15.75" customHeight="1">
      <c r="A153" s="10"/>
      <c r="B153" s="10"/>
      <c r="C153" s="10"/>
      <c r="D153" s="10"/>
      <c r="E153" s="10"/>
      <c r="F153" s="10"/>
      <c r="G153" s="10"/>
      <c r="H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</row>
    <row r="154" ht="15.75" customHeight="1">
      <c r="A154" s="10"/>
      <c r="B154" s="10"/>
      <c r="C154" s="10"/>
      <c r="D154" s="10"/>
      <c r="E154" s="10"/>
      <c r="F154" s="10"/>
      <c r="G154" s="10"/>
      <c r="H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</row>
    <row r="155" ht="15.75" customHeight="1">
      <c r="A155" s="10"/>
      <c r="B155" s="10"/>
      <c r="C155" s="10"/>
      <c r="D155" s="10"/>
      <c r="E155" s="10"/>
      <c r="F155" s="10"/>
      <c r="G155" s="10"/>
      <c r="H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</row>
    <row r="156" ht="15.75" customHeight="1">
      <c r="A156" s="10"/>
      <c r="B156" s="10"/>
      <c r="C156" s="10"/>
      <c r="D156" s="10"/>
      <c r="E156" s="10"/>
      <c r="F156" s="10"/>
      <c r="G156" s="10"/>
      <c r="H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</row>
    <row r="157" ht="15.75" customHeight="1">
      <c r="A157" s="10"/>
      <c r="B157" s="10"/>
      <c r="C157" s="10"/>
      <c r="D157" s="10"/>
      <c r="E157" s="10"/>
      <c r="F157" s="10"/>
      <c r="G157" s="10"/>
      <c r="H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</row>
    <row r="158" ht="15.75" customHeight="1">
      <c r="A158" s="10"/>
      <c r="B158" s="10"/>
      <c r="C158" s="10"/>
      <c r="D158" s="10"/>
      <c r="E158" s="10"/>
      <c r="F158" s="10"/>
      <c r="G158" s="10"/>
      <c r="H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</row>
    <row r="159" ht="15.75" customHeight="1">
      <c r="A159" s="10"/>
      <c r="B159" s="10"/>
      <c r="C159" s="10"/>
      <c r="D159" s="10"/>
      <c r="E159" s="10"/>
      <c r="F159" s="10"/>
      <c r="G159" s="10"/>
      <c r="H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</row>
    <row r="160" ht="15.75" customHeight="1">
      <c r="A160" s="10"/>
      <c r="B160" s="10"/>
      <c r="C160" s="10"/>
      <c r="D160" s="10"/>
      <c r="E160" s="10"/>
      <c r="F160" s="10"/>
      <c r="G160" s="10"/>
      <c r="H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  <c r="AH160" s="10"/>
      <c r="AI160" s="10"/>
    </row>
    <row r="161" ht="15.75" customHeight="1">
      <c r="A161" s="10"/>
      <c r="B161" s="10"/>
      <c r="C161" s="10"/>
      <c r="D161" s="10"/>
      <c r="E161" s="10"/>
      <c r="F161" s="10"/>
      <c r="G161" s="10"/>
      <c r="H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</row>
    <row r="162" ht="15.75" customHeight="1">
      <c r="A162" s="10"/>
      <c r="B162" s="10"/>
      <c r="C162" s="10"/>
      <c r="D162" s="10"/>
      <c r="E162" s="10"/>
      <c r="F162" s="10"/>
      <c r="G162" s="10"/>
      <c r="H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</row>
    <row r="163" ht="15.75" customHeight="1">
      <c r="A163" s="10"/>
      <c r="B163" s="10"/>
      <c r="C163" s="10"/>
      <c r="D163" s="10"/>
      <c r="E163" s="10"/>
      <c r="F163" s="10"/>
      <c r="G163" s="10"/>
      <c r="H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</row>
    <row r="164" ht="15.75" customHeight="1">
      <c r="A164" s="10"/>
      <c r="B164" s="10"/>
      <c r="C164" s="10"/>
      <c r="D164" s="10"/>
      <c r="E164" s="10"/>
      <c r="F164" s="10"/>
      <c r="G164" s="10"/>
      <c r="H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</row>
    <row r="165" ht="15.75" customHeight="1">
      <c r="A165" s="10"/>
      <c r="B165" s="10"/>
      <c r="C165" s="10"/>
      <c r="D165" s="10"/>
      <c r="E165" s="10"/>
      <c r="F165" s="10"/>
      <c r="G165" s="10"/>
      <c r="H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  <c r="AI165" s="10"/>
    </row>
    <row r="166" ht="15.75" customHeight="1">
      <c r="A166" s="10"/>
      <c r="B166" s="10"/>
      <c r="C166" s="10"/>
      <c r="D166" s="10"/>
      <c r="E166" s="10"/>
      <c r="F166" s="10"/>
      <c r="G166" s="10"/>
      <c r="H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  <c r="AI166" s="10"/>
    </row>
    <row r="167" ht="15.75" customHeight="1">
      <c r="A167" s="10"/>
      <c r="B167" s="10"/>
      <c r="C167" s="10"/>
      <c r="D167" s="10"/>
      <c r="E167" s="10"/>
      <c r="F167" s="10"/>
      <c r="G167" s="10"/>
      <c r="H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</row>
    <row r="168" ht="15.75" customHeight="1">
      <c r="A168" s="10"/>
      <c r="B168" s="10"/>
      <c r="C168" s="10"/>
      <c r="D168" s="10"/>
      <c r="E168" s="10"/>
      <c r="F168" s="10"/>
      <c r="G168" s="10"/>
      <c r="H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</row>
    <row r="169" ht="15.75" customHeight="1">
      <c r="A169" s="10"/>
      <c r="B169" s="10"/>
      <c r="C169" s="10"/>
      <c r="D169" s="10"/>
      <c r="E169" s="10"/>
      <c r="F169" s="10"/>
      <c r="G169" s="10"/>
      <c r="H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</row>
    <row r="170" ht="15.75" customHeight="1">
      <c r="A170" s="10"/>
      <c r="B170" s="10"/>
      <c r="C170" s="10"/>
      <c r="D170" s="10"/>
      <c r="E170" s="10"/>
      <c r="F170" s="10"/>
      <c r="G170" s="10"/>
      <c r="H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</row>
    <row r="171" ht="15.75" customHeight="1">
      <c r="A171" s="10"/>
      <c r="B171" s="10"/>
      <c r="C171" s="10"/>
      <c r="D171" s="10"/>
      <c r="E171" s="10"/>
      <c r="F171" s="10"/>
      <c r="G171" s="10"/>
      <c r="H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</row>
    <row r="172" ht="15.75" customHeight="1">
      <c r="A172" s="10"/>
      <c r="B172" s="10"/>
      <c r="C172" s="10"/>
      <c r="D172" s="10"/>
      <c r="E172" s="10"/>
      <c r="F172" s="10"/>
      <c r="G172" s="10"/>
      <c r="H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  <c r="AH172" s="10"/>
      <c r="AI172" s="10"/>
    </row>
    <row r="173" ht="15.75" customHeight="1">
      <c r="A173" s="10"/>
      <c r="B173" s="10"/>
      <c r="C173" s="10"/>
      <c r="D173" s="10"/>
      <c r="E173" s="10"/>
      <c r="F173" s="10"/>
      <c r="G173" s="10"/>
      <c r="H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</row>
    <row r="174" ht="15.75" customHeight="1">
      <c r="A174" s="10"/>
      <c r="B174" s="10"/>
      <c r="C174" s="10"/>
      <c r="D174" s="10"/>
      <c r="E174" s="10"/>
      <c r="F174" s="10"/>
      <c r="G174" s="10"/>
      <c r="H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  <c r="AI174" s="10"/>
    </row>
    <row r="175" ht="15.75" customHeight="1">
      <c r="A175" s="10"/>
      <c r="B175" s="10"/>
      <c r="C175" s="10"/>
      <c r="D175" s="10"/>
      <c r="E175" s="10"/>
      <c r="F175" s="10"/>
      <c r="G175" s="10"/>
      <c r="H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</row>
    <row r="176" ht="15.75" customHeight="1">
      <c r="A176" s="10"/>
      <c r="B176" s="10"/>
      <c r="C176" s="10"/>
      <c r="D176" s="10"/>
      <c r="E176" s="10"/>
      <c r="F176" s="10"/>
      <c r="G176" s="10"/>
      <c r="H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  <c r="AI176" s="10"/>
    </row>
    <row r="177" ht="15.75" customHeight="1">
      <c r="A177" s="10"/>
      <c r="B177" s="10"/>
      <c r="C177" s="10"/>
      <c r="D177" s="10"/>
      <c r="E177" s="10"/>
      <c r="F177" s="10"/>
      <c r="G177" s="10"/>
      <c r="H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</row>
    <row r="178" ht="15.75" customHeight="1">
      <c r="A178" s="10"/>
      <c r="B178" s="10"/>
      <c r="C178" s="10"/>
      <c r="D178" s="10"/>
      <c r="E178" s="10"/>
      <c r="F178" s="10"/>
      <c r="G178" s="10"/>
      <c r="H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</row>
    <row r="179" ht="15.75" customHeight="1">
      <c r="A179" s="10"/>
      <c r="B179" s="10"/>
      <c r="C179" s="10"/>
      <c r="D179" s="10"/>
      <c r="E179" s="10"/>
      <c r="F179" s="10"/>
      <c r="G179" s="10"/>
      <c r="H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</row>
    <row r="180" ht="15.75" customHeight="1">
      <c r="A180" s="10"/>
      <c r="B180" s="10"/>
      <c r="C180" s="10"/>
      <c r="D180" s="10"/>
      <c r="E180" s="10"/>
      <c r="F180" s="10"/>
      <c r="G180" s="10"/>
      <c r="H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</row>
    <row r="181" ht="15.75" customHeight="1">
      <c r="A181" s="10"/>
      <c r="B181" s="10"/>
      <c r="C181" s="10"/>
      <c r="D181" s="10"/>
      <c r="E181" s="10"/>
      <c r="F181" s="10"/>
      <c r="G181" s="10"/>
      <c r="H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</row>
    <row r="182" ht="15.75" customHeight="1">
      <c r="A182" s="10"/>
      <c r="B182" s="10"/>
      <c r="C182" s="10"/>
      <c r="D182" s="10"/>
      <c r="E182" s="10"/>
      <c r="F182" s="10"/>
      <c r="G182" s="10"/>
      <c r="H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</row>
    <row r="183" ht="15.75" customHeight="1">
      <c r="A183" s="10"/>
      <c r="B183" s="10"/>
      <c r="C183" s="10"/>
      <c r="D183" s="10"/>
      <c r="E183" s="10"/>
      <c r="F183" s="10"/>
      <c r="G183" s="10"/>
      <c r="H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</row>
    <row r="184" ht="15.75" customHeight="1">
      <c r="A184" s="10"/>
      <c r="B184" s="10"/>
      <c r="C184" s="10"/>
      <c r="D184" s="10"/>
      <c r="E184" s="10"/>
      <c r="F184" s="10"/>
      <c r="G184" s="10"/>
      <c r="H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</row>
    <row r="185" ht="15.75" customHeight="1">
      <c r="A185" s="10"/>
      <c r="B185" s="10"/>
      <c r="C185" s="10"/>
      <c r="D185" s="10"/>
      <c r="E185" s="10"/>
      <c r="F185" s="10"/>
      <c r="G185" s="10"/>
      <c r="H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</row>
    <row r="186" ht="15.75" customHeight="1">
      <c r="A186" s="10"/>
      <c r="B186" s="10"/>
      <c r="C186" s="10"/>
      <c r="D186" s="10"/>
      <c r="E186" s="10"/>
      <c r="F186" s="10"/>
      <c r="G186" s="10"/>
      <c r="H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  <c r="AH186" s="10"/>
      <c r="AI186" s="10"/>
    </row>
    <row r="187" ht="15.75" customHeight="1">
      <c r="A187" s="10"/>
      <c r="B187" s="10"/>
      <c r="C187" s="10"/>
      <c r="D187" s="10"/>
      <c r="E187" s="10"/>
      <c r="F187" s="10"/>
      <c r="G187" s="10"/>
      <c r="H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</row>
    <row r="188" ht="15.75" customHeight="1">
      <c r="A188" s="10"/>
      <c r="B188" s="10"/>
      <c r="C188" s="10"/>
      <c r="D188" s="10"/>
      <c r="E188" s="10"/>
      <c r="F188" s="10"/>
      <c r="G188" s="10"/>
      <c r="H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  <c r="AH188" s="10"/>
      <c r="AI188" s="10"/>
    </row>
    <row r="189" ht="15.75" customHeight="1">
      <c r="A189" s="10"/>
      <c r="B189" s="10"/>
      <c r="C189" s="10"/>
      <c r="D189" s="10"/>
      <c r="E189" s="10"/>
      <c r="F189" s="10"/>
      <c r="G189" s="10"/>
      <c r="H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</row>
    <row r="190" ht="15.75" customHeight="1">
      <c r="A190" s="10"/>
      <c r="B190" s="10"/>
      <c r="C190" s="10"/>
      <c r="D190" s="10"/>
      <c r="E190" s="10"/>
      <c r="F190" s="10"/>
      <c r="G190" s="10"/>
      <c r="H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</row>
    <row r="191" ht="15.75" customHeight="1">
      <c r="A191" s="10"/>
      <c r="B191" s="10"/>
      <c r="C191" s="10"/>
      <c r="D191" s="10"/>
      <c r="E191" s="10"/>
      <c r="F191" s="10"/>
      <c r="G191" s="10"/>
      <c r="H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</row>
    <row r="192" ht="15.75" customHeight="1">
      <c r="A192" s="10"/>
      <c r="B192" s="10"/>
      <c r="C192" s="10"/>
      <c r="D192" s="10"/>
      <c r="E192" s="10"/>
      <c r="F192" s="10"/>
      <c r="G192" s="10"/>
      <c r="H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  <c r="AH192" s="10"/>
      <c r="AI192" s="10"/>
    </row>
    <row r="193" ht="15.75" customHeight="1">
      <c r="A193" s="10"/>
      <c r="B193" s="10"/>
      <c r="C193" s="10"/>
      <c r="D193" s="10"/>
      <c r="E193" s="10"/>
      <c r="F193" s="10"/>
      <c r="G193" s="10"/>
      <c r="H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</row>
    <row r="194" ht="15.75" customHeight="1">
      <c r="A194" s="10"/>
      <c r="B194" s="10"/>
      <c r="C194" s="10"/>
      <c r="D194" s="10"/>
      <c r="E194" s="10"/>
      <c r="F194" s="10"/>
      <c r="G194" s="10"/>
      <c r="H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  <c r="AH194" s="10"/>
      <c r="AI194" s="10"/>
    </row>
    <row r="195" ht="15.75" customHeight="1">
      <c r="A195" s="10"/>
      <c r="B195" s="10"/>
      <c r="C195" s="10"/>
      <c r="D195" s="10"/>
      <c r="E195" s="10"/>
      <c r="F195" s="10"/>
      <c r="G195" s="10"/>
      <c r="H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  <c r="AI195" s="10"/>
    </row>
    <row r="196" ht="15.75" customHeight="1">
      <c r="A196" s="10"/>
      <c r="B196" s="10"/>
      <c r="C196" s="10"/>
      <c r="D196" s="10"/>
      <c r="E196" s="10"/>
      <c r="F196" s="10"/>
      <c r="G196" s="10"/>
      <c r="H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</row>
    <row r="197" ht="15.75" customHeight="1">
      <c r="A197" s="10"/>
      <c r="B197" s="10"/>
      <c r="C197" s="10"/>
      <c r="D197" s="10"/>
      <c r="E197" s="10"/>
      <c r="F197" s="10"/>
      <c r="G197" s="10"/>
      <c r="H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</row>
    <row r="198" ht="15.75" customHeight="1">
      <c r="A198" s="10"/>
      <c r="B198" s="10"/>
      <c r="C198" s="10"/>
      <c r="D198" s="10"/>
      <c r="E198" s="10"/>
      <c r="F198" s="10"/>
      <c r="G198" s="10"/>
      <c r="H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</row>
    <row r="199" ht="15.75" customHeight="1">
      <c r="A199" s="10"/>
      <c r="B199" s="10"/>
      <c r="C199" s="10"/>
      <c r="D199" s="10"/>
      <c r="E199" s="10"/>
      <c r="F199" s="10"/>
      <c r="G199" s="10"/>
      <c r="H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  <c r="AH199" s="10"/>
      <c r="AI199" s="10"/>
    </row>
    <row r="200" ht="15.75" customHeight="1">
      <c r="A200" s="10"/>
      <c r="B200" s="10"/>
      <c r="C200" s="10"/>
      <c r="D200" s="10"/>
      <c r="E200" s="10"/>
      <c r="F200" s="10"/>
      <c r="G200" s="10"/>
      <c r="H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  <c r="AH200" s="10"/>
      <c r="AI200" s="10"/>
    </row>
    <row r="201" ht="15.75" customHeight="1">
      <c r="A201" s="10"/>
      <c r="B201" s="10"/>
      <c r="C201" s="10"/>
      <c r="D201" s="10"/>
      <c r="E201" s="10"/>
      <c r="F201" s="10"/>
      <c r="G201" s="10"/>
      <c r="H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  <c r="AH201" s="10"/>
      <c r="AI201" s="10"/>
    </row>
    <row r="202" ht="15.75" customHeight="1">
      <c r="A202" s="10"/>
      <c r="B202" s="10"/>
      <c r="C202" s="10"/>
      <c r="D202" s="10"/>
      <c r="E202" s="10"/>
      <c r="F202" s="10"/>
      <c r="G202" s="10"/>
      <c r="H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/>
      <c r="AI202" s="10"/>
    </row>
    <row r="203" ht="15.75" customHeight="1">
      <c r="A203" s="10"/>
      <c r="B203" s="10"/>
      <c r="C203" s="10"/>
      <c r="D203" s="10"/>
      <c r="E203" s="10"/>
      <c r="F203" s="10"/>
      <c r="G203" s="10"/>
      <c r="H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  <c r="AH203" s="10"/>
      <c r="AI203" s="10"/>
    </row>
    <row r="204" ht="15.75" customHeight="1">
      <c r="A204" s="10"/>
      <c r="B204" s="10"/>
      <c r="C204" s="10"/>
      <c r="D204" s="10"/>
      <c r="E204" s="10"/>
      <c r="F204" s="10"/>
      <c r="G204" s="10"/>
      <c r="H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  <c r="AI204" s="10"/>
    </row>
    <row r="205" ht="15.75" customHeight="1">
      <c r="A205" s="10"/>
      <c r="B205" s="10"/>
      <c r="C205" s="10"/>
      <c r="D205" s="10"/>
      <c r="E205" s="10"/>
      <c r="F205" s="10"/>
      <c r="G205" s="10"/>
      <c r="H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  <c r="AH205" s="10"/>
      <c r="AI205" s="10"/>
    </row>
    <row r="206" ht="15.75" customHeight="1">
      <c r="A206" s="10"/>
      <c r="B206" s="10"/>
      <c r="C206" s="10"/>
      <c r="D206" s="10"/>
      <c r="E206" s="10"/>
      <c r="F206" s="10"/>
      <c r="G206" s="10"/>
      <c r="H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  <c r="AI206" s="10"/>
    </row>
    <row r="207" ht="15.75" customHeight="1">
      <c r="A207" s="10"/>
      <c r="B207" s="10"/>
      <c r="C207" s="10"/>
      <c r="D207" s="10"/>
      <c r="E207" s="10"/>
      <c r="F207" s="10"/>
      <c r="G207" s="10"/>
      <c r="H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  <c r="AI207" s="10"/>
    </row>
    <row r="208" ht="15.75" customHeight="1">
      <c r="A208" s="10"/>
      <c r="B208" s="10"/>
      <c r="C208" s="10"/>
      <c r="D208" s="10"/>
      <c r="E208" s="10"/>
      <c r="F208" s="10"/>
      <c r="G208" s="10"/>
      <c r="H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/>
    </row>
    <row r="209" ht="15.75" customHeight="1">
      <c r="A209" s="10"/>
      <c r="B209" s="10"/>
      <c r="C209" s="10"/>
      <c r="D209" s="10"/>
      <c r="E209" s="10"/>
      <c r="F209" s="10"/>
      <c r="G209" s="10"/>
      <c r="H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</row>
    <row r="210" ht="15.75" customHeight="1">
      <c r="A210" s="10"/>
      <c r="B210" s="10"/>
      <c r="C210" s="10"/>
      <c r="D210" s="10"/>
      <c r="E210" s="10"/>
      <c r="F210" s="10"/>
      <c r="G210" s="10"/>
      <c r="H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  <c r="AI210" s="10"/>
    </row>
    <row r="211" ht="15.75" customHeight="1">
      <c r="A211" s="10"/>
      <c r="B211" s="10"/>
      <c r="C211" s="10"/>
      <c r="D211" s="10"/>
      <c r="E211" s="10"/>
      <c r="F211" s="10"/>
      <c r="G211" s="10"/>
      <c r="H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</row>
    <row r="212" ht="15.75" customHeight="1">
      <c r="A212" s="10"/>
      <c r="B212" s="10"/>
      <c r="C212" s="10"/>
      <c r="D212" s="10"/>
      <c r="E212" s="10"/>
      <c r="F212" s="10"/>
      <c r="G212" s="10"/>
      <c r="H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</row>
    <row r="213" ht="15.75" customHeight="1">
      <c r="A213" s="10"/>
      <c r="B213" s="10"/>
      <c r="C213" s="10"/>
      <c r="D213" s="10"/>
      <c r="E213" s="10"/>
      <c r="F213" s="10"/>
      <c r="G213" s="10"/>
      <c r="H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</row>
    <row r="214" ht="15.75" customHeight="1">
      <c r="A214" s="10"/>
      <c r="B214" s="10"/>
      <c r="C214" s="10"/>
      <c r="D214" s="10"/>
      <c r="E214" s="10"/>
      <c r="F214" s="10"/>
      <c r="G214" s="10"/>
      <c r="H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</row>
    <row r="215" ht="15.75" customHeight="1">
      <c r="A215" s="10"/>
      <c r="B215" s="10"/>
      <c r="C215" s="10"/>
      <c r="D215" s="10"/>
      <c r="E215" s="10"/>
      <c r="F215" s="10"/>
      <c r="G215" s="10"/>
      <c r="H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  <c r="AI215" s="10"/>
    </row>
    <row r="216" ht="15.75" customHeight="1">
      <c r="A216" s="10"/>
      <c r="B216" s="10"/>
      <c r="C216" s="10"/>
      <c r="D216" s="10"/>
      <c r="E216" s="10"/>
      <c r="F216" s="10"/>
      <c r="G216" s="10"/>
      <c r="H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  <c r="AI216" s="10"/>
    </row>
    <row r="217" ht="15.75" customHeight="1">
      <c r="A217" s="10"/>
      <c r="B217" s="10"/>
      <c r="C217" s="10"/>
      <c r="D217" s="10"/>
      <c r="E217" s="10"/>
      <c r="F217" s="10"/>
      <c r="G217" s="10"/>
      <c r="H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  <c r="AI217" s="10"/>
    </row>
    <row r="218" ht="15.75" customHeight="1">
      <c r="A218" s="10"/>
      <c r="B218" s="10"/>
      <c r="C218" s="10"/>
      <c r="D218" s="10"/>
      <c r="E218" s="10"/>
      <c r="F218" s="10"/>
      <c r="G218" s="10"/>
      <c r="H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</row>
    <row r="219" ht="15.75" customHeight="1">
      <c r="A219" s="10"/>
      <c r="B219" s="10"/>
      <c r="C219" s="10"/>
      <c r="D219" s="10"/>
      <c r="E219" s="10"/>
      <c r="F219" s="10"/>
      <c r="G219" s="10"/>
      <c r="H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</row>
    <row r="220" ht="15.75" customHeight="1">
      <c r="A220" s="10"/>
      <c r="B220" s="10"/>
      <c r="C220" s="10"/>
      <c r="D220" s="10"/>
      <c r="E220" s="10"/>
      <c r="F220" s="10"/>
      <c r="G220" s="10"/>
      <c r="H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  <c r="AI220" s="10"/>
    </row>
    <row r="221" ht="15.75" customHeight="1">
      <c r="A221" s="10"/>
      <c r="B221" s="10"/>
      <c r="C221" s="10"/>
      <c r="D221" s="10"/>
      <c r="E221" s="10"/>
      <c r="F221" s="10"/>
      <c r="G221" s="10"/>
      <c r="H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  <c r="AE221" s="10"/>
      <c r="AF221" s="10"/>
      <c r="AG221" s="10"/>
      <c r="AH221" s="10"/>
      <c r="AI221" s="10"/>
    </row>
    <row r="222" ht="15.75" customHeight="1">
      <c r="A222" s="10"/>
      <c r="B222" s="10"/>
      <c r="C222" s="10"/>
      <c r="D222" s="10"/>
      <c r="E222" s="10"/>
      <c r="F222" s="10"/>
      <c r="G222" s="10"/>
      <c r="H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  <c r="AE222" s="10"/>
      <c r="AF222" s="10"/>
      <c r="AG222" s="10"/>
      <c r="AH222" s="10"/>
      <c r="AI222" s="10"/>
    </row>
    <row r="223" ht="15.75" customHeight="1">
      <c r="A223" s="10"/>
      <c r="B223" s="10"/>
      <c r="C223" s="10"/>
      <c r="D223" s="10"/>
      <c r="E223" s="10"/>
      <c r="F223" s="10"/>
      <c r="G223" s="10"/>
      <c r="H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  <c r="AE223" s="10"/>
      <c r="AF223" s="10"/>
      <c r="AG223" s="10"/>
      <c r="AH223" s="10"/>
      <c r="AI223" s="10"/>
    </row>
    <row r="224" ht="15.75" customHeight="1">
      <c r="A224" s="10"/>
      <c r="B224" s="10"/>
      <c r="C224" s="10"/>
      <c r="D224" s="10"/>
      <c r="E224" s="10"/>
      <c r="F224" s="10"/>
      <c r="G224" s="10"/>
      <c r="H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  <c r="AE224" s="10"/>
      <c r="AF224" s="10"/>
      <c r="AG224" s="10"/>
      <c r="AH224" s="10"/>
      <c r="AI224" s="10"/>
    </row>
    <row r="225" ht="15.75" customHeight="1">
      <c r="A225" s="10"/>
      <c r="B225" s="10"/>
      <c r="C225" s="10"/>
      <c r="D225" s="10"/>
      <c r="E225" s="10"/>
      <c r="F225" s="10"/>
      <c r="G225" s="10"/>
      <c r="H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  <c r="AE225" s="10"/>
      <c r="AF225" s="10"/>
      <c r="AG225" s="10"/>
      <c r="AH225" s="10"/>
      <c r="AI225" s="10"/>
    </row>
    <row r="226" ht="15.75" customHeight="1">
      <c r="A226" s="10"/>
      <c r="B226" s="10"/>
      <c r="C226" s="10"/>
      <c r="D226" s="10"/>
      <c r="E226" s="10"/>
      <c r="F226" s="10"/>
      <c r="G226" s="10"/>
      <c r="H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  <c r="AE226" s="10"/>
      <c r="AF226" s="10"/>
      <c r="AG226" s="10"/>
      <c r="AH226" s="10"/>
      <c r="AI226" s="10"/>
    </row>
    <row r="227" ht="15.75" customHeight="1">
      <c r="A227" s="10"/>
      <c r="B227" s="10"/>
      <c r="C227" s="10"/>
      <c r="D227" s="10"/>
      <c r="E227" s="10"/>
      <c r="F227" s="10"/>
      <c r="G227" s="10"/>
      <c r="H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  <c r="AF227" s="10"/>
      <c r="AG227" s="10"/>
      <c r="AH227" s="10"/>
      <c r="AI227" s="10"/>
    </row>
    <row r="228" ht="15.75" customHeight="1">
      <c r="A228" s="10"/>
      <c r="B228" s="10"/>
      <c r="C228" s="10"/>
      <c r="D228" s="10"/>
      <c r="E228" s="10"/>
      <c r="F228" s="10"/>
      <c r="G228" s="10"/>
      <c r="H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  <c r="AE228" s="10"/>
      <c r="AF228" s="10"/>
      <c r="AG228" s="10"/>
      <c r="AH228" s="10"/>
      <c r="AI228" s="10"/>
    </row>
    <row r="229" ht="15.75" customHeight="1">
      <c r="A229" s="10"/>
      <c r="B229" s="10"/>
      <c r="C229" s="10"/>
      <c r="D229" s="10"/>
      <c r="E229" s="10"/>
      <c r="F229" s="10"/>
      <c r="G229" s="10"/>
      <c r="H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  <c r="AE229" s="10"/>
      <c r="AF229" s="10"/>
      <c r="AG229" s="10"/>
      <c r="AH229" s="10"/>
      <c r="AI229" s="10"/>
    </row>
    <row r="230" ht="15.75" customHeight="1">
      <c r="A230" s="10"/>
      <c r="B230" s="10"/>
      <c r="C230" s="10"/>
      <c r="D230" s="10"/>
      <c r="E230" s="10"/>
      <c r="F230" s="10"/>
      <c r="G230" s="10"/>
      <c r="H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  <c r="AE230" s="10"/>
      <c r="AF230" s="10"/>
      <c r="AG230" s="10"/>
      <c r="AH230" s="10"/>
      <c r="AI230" s="10"/>
    </row>
    <row r="231" ht="15.75" customHeight="1">
      <c r="A231" s="10"/>
      <c r="B231" s="10"/>
      <c r="C231" s="10"/>
      <c r="D231" s="10"/>
      <c r="E231" s="10"/>
      <c r="F231" s="10"/>
      <c r="G231" s="10"/>
      <c r="H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  <c r="AE231" s="10"/>
      <c r="AF231" s="10"/>
      <c r="AG231" s="10"/>
      <c r="AH231" s="10"/>
      <c r="AI231" s="10"/>
    </row>
    <row r="232" ht="15.75" customHeight="1">
      <c r="A232" s="10"/>
      <c r="B232" s="10"/>
      <c r="C232" s="10"/>
      <c r="D232" s="10"/>
      <c r="E232" s="10"/>
      <c r="F232" s="10"/>
      <c r="G232" s="10"/>
      <c r="H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  <c r="AE232" s="10"/>
      <c r="AF232" s="10"/>
      <c r="AG232" s="10"/>
      <c r="AH232" s="10"/>
      <c r="AI232" s="10"/>
    </row>
    <row r="233" ht="15.75" customHeight="1">
      <c r="A233" s="10"/>
      <c r="B233" s="10"/>
      <c r="C233" s="10"/>
      <c r="D233" s="10"/>
      <c r="E233" s="10"/>
      <c r="F233" s="10"/>
      <c r="G233" s="10"/>
      <c r="H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  <c r="AE233" s="10"/>
      <c r="AF233" s="10"/>
      <c r="AG233" s="10"/>
      <c r="AH233" s="10"/>
      <c r="AI233" s="10"/>
    </row>
    <row r="234" ht="15.75" customHeight="1">
      <c r="A234" s="10"/>
      <c r="B234" s="10"/>
      <c r="C234" s="10"/>
      <c r="D234" s="10"/>
      <c r="E234" s="10"/>
      <c r="F234" s="10"/>
      <c r="G234" s="10"/>
      <c r="H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  <c r="AE234" s="10"/>
      <c r="AF234" s="10"/>
      <c r="AG234" s="10"/>
      <c r="AH234" s="10"/>
      <c r="AI234" s="10"/>
    </row>
    <row r="235" ht="15.75" customHeight="1">
      <c r="A235" s="10"/>
      <c r="B235" s="10"/>
      <c r="C235" s="10"/>
      <c r="D235" s="10"/>
      <c r="E235" s="10"/>
      <c r="F235" s="10"/>
      <c r="G235" s="10"/>
      <c r="H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  <c r="AE235" s="10"/>
      <c r="AF235" s="10"/>
      <c r="AG235" s="10"/>
      <c r="AH235" s="10"/>
      <c r="AI235" s="10"/>
    </row>
    <row r="236" ht="15.75" customHeight="1">
      <c r="A236" s="10"/>
      <c r="B236" s="10"/>
      <c r="C236" s="10"/>
      <c r="D236" s="10"/>
      <c r="E236" s="10"/>
      <c r="F236" s="10"/>
      <c r="G236" s="10"/>
      <c r="H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  <c r="AE236" s="10"/>
      <c r="AF236" s="10"/>
      <c r="AG236" s="10"/>
      <c r="AH236" s="10"/>
      <c r="AI236" s="10"/>
    </row>
    <row r="237" ht="15.75" customHeight="1">
      <c r="A237" s="10"/>
      <c r="B237" s="10"/>
      <c r="C237" s="10"/>
      <c r="D237" s="10"/>
      <c r="E237" s="10"/>
      <c r="F237" s="10"/>
      <c r="G237" s="10"/>
      <c r="H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</row>
    <row r="238" ht="15.75" customHeight="1">
      <c r="A238" s="10"/>
      <c r="B238" s="10"/>
      <c r="C238" s="10"/>
      <c r="D238" s="10"/>
      <c r="E238" s="10"/>
      <c r="F238" s="10"/>
      <c r="G238" s="10"/>
      <c r="H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  <c r="AE238" s="10"/>
      <c r="AF238" s="10"/>
      <c r="AG238" s="10"/>
      <c r="AH238" s="10"/>
      <c r="AI238" s="10"/>
    </row>
    <row r="239" ht="15.75" customHeight="1">
      <c r="A239" s="10"/>
      <c r="B239" s="10"/>
      <c r="C239" s="10"/>
      <c r="D239" s="10"/>
      <c r="E239" s="10"/>
      <c r="F239" s="10"/>
      <c r="G239" s="10"/>
      <c r="H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</row>
    <row r="240" ht="15.75" customHeight="1">
      <c r="A240" s="10"/>
      <c r="B240" s="10"/>
      <c r="C240" s="10"/>
      <c r="D240" s="10"/>
      <c r="E240" s="10"/>
      <c r="F240" s="10"/>
      <c r="G240" s="10"/>
      <c r="H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  <c r="AE240" s="10"/>
      <c r="AF240" s="10"/>
      <c r="AG240" s="10"/>
      <c r="AH240" s="10"/>
      <c r="AI240" s="10"/>
    </row>
    <row r="241" ht="15.75" customHeight="1">
      <c r="A241" s="10"/>
      <c r="B241" s="10"/>
      <c r="C241" s="10"/>
      <c r="D241" s="10"/>
      <c r="E241" s="10"/>
      <c r="F241" s="10"/>
      <c r="G241" s="10"/>
      <c r="H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  <c r="AE241" s="10"/>
      <c r="AF241" s="10"/>
      <c r="AG241" s="10"/>
      <c r="AH241" s="10"/>
      <c r="AI241" s="10"/>
    </row>
    <row r="242" ht="15.75" customHeight="1">
      <c r="A242" s="10"/>
      <c r="B242" s="10"/>
      <c r="C242" s="10"/>
      <c r="D242" s="10"/>
      <c r="E242" s="10"/>
      <c r="F242" s="10"/>
      <c r="G242" s="10"/>
      <c r="H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  <c r="AE242" s="10"/>
      <c r="AF242" s="10"/>
      <c r="AG242" s="10"/>
      <c r="AH242" s="10"/>
      <c r="AI242" s="10"/>
    </row>
    <row r="243" ht="15.75" customHeight="1">
      <c r="A243" s="10"/>
      <c r="B243" s="10"/>
      <c r="C243" s="10"/>
      <c r="D243" s="10"/>
      <c r="E243" s="10"/>
      <c r="F243" s="10"/>
      <c r="G243" s="10"/>
      <c r="H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  <c r="AE243" s="10"/>
      <c r="AF243" s="10"/>
      <c r="AG243" s="10"/>
      <c r="AH243" s="10"/>
      <c r="AI243" s="10"/>
    </row>
    <row r="244" ht="15.75" customHeight="1">
      <c r="A244" s="10"/>
      <c r="B244" s="10"/>
      <c r="C244" s="10"/>
      <c r="D244" s="10"/>
      <c r="E244" s="10"/>
      <c r="F244" s="10"/>
      <c r="G244" s="10"/>
      <c r="H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  <c r="AE244" s="10"/>
      <c r="AF244" s="10"/>
      <c r="AG244" s="10"/>
      <c r="AH244" s="10"/>
      <c r="AI244" s="10"/>
    </row>
    <row r="245" ht="15.75" customHeight="1">
      <c r="A245" s="10"/>
      <c r="B245" s="10"/>
      <c r="C245" s="10"/>
      <c r="D245" s="10"/>
      <c r="E245" s="10"/>
      <c r="F245" s="10"/>
      <c r="G245" s="10"/>
      <c r="H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  <c r="AE245" s="10"/>
      <c r="AF245" s="10"/>
      <c r="AG245" s="10"/>
      <c r="AH245" s="10"/>
      <c r="AI245" s="10"/>
    </row>
    <row r="246" ht="15.75" customHeight="1">
      <c r="A246" s="10"/>
      <c r="B246" s="10"/>
      <c r="C246" s="10"/>
      <c r="D246" s="10"/>
      <c r="E246" s="10"/>
      <c r="F246" s="10"/>
      <c r="G246" s="10"/>
      <c r="H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  <c r="AE246" s="10"/>
      <c r="AF246" s="10"/>
      <c r="AG246" s="10"/>
      <c r="AH246" s="10"/>
      <c r="AI246" s="10"/>
    </row>
    <row r="247" ht="15.75" customHeight="1">
      <c r="A247" s="10"/>
      <c r="B247" s="10"/>
      <c r="C247" s="10"/>
      <c r="D247" s="10"/>
      <c r="E247" s="10"/>
      <c r="F247" s="10"/>
      <c r="G247" s="10"/>
      <c r="H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  <c r="AE247" s="10"/>
      <c r="AF247" s="10"/>
      <c r="AG247" s="10"/>
      <c r="AH247" s="10"/>
      <c r="AI247" s="10"/>
    </row>
    <row r="248" ht="15.75" customHeight="1">
      <c r="A248" s="10"/>
      <c r="B248" s="10"/>
      <c r="C248" s="10"/>
      <c r="D248" s="10"/>
      <c r="E248" s="10"/>
      <c r="F248" s="10"/>
      <c r="G248" s="10"/>
      <c r="H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  <c r="AE248" s="10"/>
      <c r="AF248" s="10"/>
      <c r="AG248" s="10"/>
      <c r="AH248" s="10"/>
      <c r="AI248" s="10"/>
    </row>
    <row r="249" ht="15.75" customHeight="1">
      <c r="A249" s="10"/>
      <c r="B249" s="10"/>
      <c r="C249" s="10"/>
      <c r="D249" s="10"/>
      <c r="E249" s="10"/>
      <c r="F249" s="10"/>
      <c r="G249" s="10"/>
      <c r="H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  <c r="AE249" s="10"/>
      <c r="AF249" s="10"/>
      <c r="AG249" s="10"/>
      <c r="AH249" s="10"/>
      <c r="AI249" s="10"/>
    </row>
    <row r="250" ht="15.75" customHeight="1">
      <c r="A250" s="10"/>
      <c r="B250" s="10"/>
      <c r="C250" s="10"/>
      <c r="D250" s="10"/>
      <c r="E250" s="10"/>
      <c r="F250" s="10"/>
      <c r="G250" s="10"/>
      <c r="H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  <c r="AE250" s="10"/>
      <c r="AF250" s="10"/>
      <c r="AG250" s="10"/>
      <c r="AH250" s="10"/>
      <c r="AI250" s="10"/>
    </row>
    <row r="251" ht="15.75" customHeight="1">
      <c r="A251" s="10"/>
      <c r="B251" s="10"/>
      <c r="C251" s="10"/>
      <c r="D251" s="10"/>
      <c r="E251" s="10"/>
      <c r="F251" s="10"/>
      <c r="G251" s="10"/>
      <c r="H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  <c r="AE251" s="10"/>
      <c r="AF251" s="10"/>
      <c r="AG251" s="10"/>
      <c r="AH251" s="10"/>
      <c r="AI251" s="10"/>
    </row>
    <row r="252" ht="15.75" customHeight="1">
      <c r="A252" s="10"/>
      <c r="B252" s="10"/>
      <c r="C252" s="10"/>
      <c r="D252" s="10"/>
      <c r="E252" s="10"/>
      <c r="F252" s="10"/>
      <c r="G252" s="10"/>
      <c r="H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  <c r="AE252" s="10"/>
      <c r="AF252" s="10"/>
      <c r="AG252" s="10"/>
      <c r="AH252" s="10"/>
      <c r="AI252" s="10"/>
    </row>
    <row r="253" ht="15.75" customHeight="1">
      <c r="A253" s="10"/>
      <c r="B253" s="10"/>
      <c r="C253" s="10"/>
      <c r="D253" s="10"/>
      <c r="E253" s="10"/>
      <c r="F253" s="10"/>
      <c r="G253" s="10"/>
      <c r="H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  <c r="AE253" s="10"/>
      <c r="AF253" s="10"/>
      <c r="AG253" s="10"/>
      <c r="AH253" s="10"/>
      <c r="AI253" s="10"/>
    </row>
    <row r="254" ht="15.75" customHeight="1">
      <c r="A254" s="10"/>
      <c r="B254" s="10"/>
      <c r="C254" s="10"/>
      <c r="D254" s="10"/>
      <c r="E254" s="10"/>
      <c r="F254" s="10"/>
      <c r="G254" s="10"/>
      <c r="H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  <c r="AE254" s="10"/>
      <c r="AF254" s="10"/>
      <c r="AG254" s="10"/>
      <c r="AH254" s="10"/>
      <c r="AI254" s="10"/>
    </row>
    <row r="255" ht="15.75" customHeight="1">
      <c r="A255" s="10"/>
      <c r="B255" s="10"/>
      <c r="C255" s="10"/>
      <c r="D255" s="10"/>
      <c r="E255" s="10"/>
      <c r="F255" s="10"/>
      <c r="G255" s="10"/>
      <c r="H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  <c r="AE255" s="10"/>
      <c r="AF255" s="10"/>
      <c r="AG255" s="10"/>
      <c r="AH255" s="10"/>
      <c r="AI255" s="10"/>
    </row>
    <row r="256" ht="15.75" customHeight="1">
      <c r="A256" s="10"/>
      <c r="B256" s="10"/>
      <c r="C256" s="10"/>
      <c r="D256" s="10"/>
      <c r="E256" s="10"/>
      <c r="F256" s="10"/>
      <c r="G256" s="10"/>
      <c r="H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  <c r="AE256" s="10"/>
      <c r="AF256" s="10"/>
      <c r="AG256" s="10"/>
      <c r="AH256" s="10"/>
      <c r="AI256" s="10"/>
    </row>
    <row r="257" ht="15.75" customHeight="1">
      <c r="A257" s="10"/>
      <c r="B257" s="10"/>
      <c r="C257" s="10"/>
      <c r="D257" s="10"/>
      <c r="E257" s="10"/>
      <c r="F257" s="10"/>
      <c r="G257" s="10"/>
      <c r="H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  <c r="AE257" s="10"/>
      <c r="AF257" s="10"/>
      <c r="AG257" s="10"/>
      <c r="AH257" s="10"/>
      <c r="AI257" s="10"/>
    </row>
    <row r="258" ht="15.75" customHeight="1">
      <c r="A258" s="10"/>
      <c r="B258" s="10"/>
      <c r="C258" s="10"/>
      <c r="D258" s="10"/>
      <c r="E258" s="10"/>
      <c r="F258" s="10"/>
      <c r="G258" s="10"/>
      <c r="H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  <c r="AE258" s="10"/>
      <c r="AF258" s="10"/>
      <c r="AG258" s="10"/>
      <c r="AH258" s="10"/>
      <c r="AI258" s="10"/>
    </row>
    <row r="259" ht="15.75" customHeight="1">
      <c r="A259" s="10"/>
      <c r="B259" s="10"/>
      <c r="C259" s="10"/>
      <c r="D259" s="10"/>
      <c r="E259" s="10"/>
      <c r="F259" s="10"/>
      <c r="G259" s="10"/>
      <c r="H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  <c r="AE259" s="10"/>
      <c r="AF259" s="10"/>
      <c r="AG259" s="10"/>
      <c r="AH259" s="10"/>
      <c r="AI259" s="10"/>
    </row>
    <row r="260" ht="15.75" customHeight="1">
      <c r="A260" s="10"/>
      <c r="B260" s="10"/>
      <c r="C260" s="10"/>
      <c r="D260" s="10"/>
      <c r="E260" s="10"/>
      <c r="F260" s="10"/>
      <c r="G260" s="10"/>
      <c r="H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  <c r="AE260" s="10"/>
      <c r="AF260" s="10"/>
      <c r="AG260" s="10"/>
      <c r="AH260" s="10"/>
      <c r="AI260" s="10"/>
    </row>
    <row r="261" ht="15.75" customHeight="1">
      <c r="A261" s="10"/>
      <c r="B261" s="10"/>
      <c r="C261" s="10"/>
      <c r="D261" s="10"/>
      <c r="E261" s="10"/>
      <c r="F261" s="10"/>
      <c r="G261" s="10"/>
      <c r="H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  <c r="AE261" s="10"/>
      <c r="AF261" s="10"/>
      <c r="AG261" s="10"/>
      <c r="AH261" s="10"/>
      <c r="AI261" s="10"/>
    </row>
    <row r="262" ht="15.75" customHeight="1">
      <c r="A262" s="10"/>
      <c r="B262" s="10"/>
      <c r="C262" s="10"/>
      <c r="D262" s="10"/>
      <c r="E262" s="10"/>
      <c r="F262" s="10"/>
      <c r="G262" s="10"/>
      <c r="H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  <c r="AE262" s="10"/>
      <c r="AF262" s="10"/>
      <c r="AG262" s="10"/>
      <c r="AH262" s="10"/>
      <c r="AI262" s="10"/>
    </row>
    <row r="263" ht="15.75" customHeight="1">
      <c r="A263" s="10"/>
      <c r="B263" s="10"/>
      <c r="C263" s="10"/>
      <c r="D263" s="10"/>
      <c r="E263" s="10"/>
      <c r="F263" s="10"/>
      <c r="G263" s="10"/>
      <c r="H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  <c r="AE263" s="10"/>
      <c r="AF263" s="10"/>
      <c r="AG263" s="10"/>
      <c r="AH263" s="10"/>
      <c r="AI263" s="10"/>
    </row>
    <row r="264" ht="15.75" customHeight="1">
      <c r="A264" s="10"/>
      <c r="B264" s="10"/>
      <c r="C264" s="10"/>
      <c r="D264" s="10"/>
      <c r="E264" s="10"/>
      <c r="F264" s="10"/>
      <c r="G264" s="10"/>
      <c r="H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  <c r="AE264" s="10"/>
      <c r="AF264" s="10"/>
      <c r="AG264" s="10"/>
      <c r="AH264" s="10"/>
      <c r="AI264" s="10"/>
    </row>
    <row r="265" ht="15.75" customHeight="1">
      <c r="A265" s="10"/>
      <c r="B265" s="10"/>
      <c r="C265" s="10"/>
      <c r="D265" s="10"/>
      <c r="E265" s="10"/>
      <c r="F265" s="10"/>
      <c r="G265" s="10"/>
      <c r="H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  <c r="AE265" s="10"/>
      <c r="AF265" s="10"/>
      <c r="AG265" s="10"/>
      <c r="AH265" s="10"/>
      <c r="AI265" s="10"/>
    </row>
    <row r="266" ht="15.75" customHeight="1">
      <c r="A266" s="10"/>
      <c r="B266" s="10"/>
      <c r="C266" s="10"/>
      <c r="D266" s="10"/>
      <c r="E266" s="10"/>
      <c r="F266" s="10"/>
      <c r="G266" s="10"/>
      <c r="H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  <c r="AE266" s="10"/>
      <c r="AF266" s="10"/>
      <c r="AG266" s="10"/>
      <c r="AH266" s="10"/>
      <c r="AI266" s="10"/>
    </row>
    <row r="267" ht="15.75" customHeight="1">
      <c r="A267" s="10"/>
      <c r="B267" s="10"/>
      <c r="C267" s="10"/>
      <c r="D267" s="10"/>
      <c r="E267" s="10"/>
      <c r="F267" s="10"/>
      <c r="G267" s="10"/>
      <c r="H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  <c r="AE267" s="10"/>
      <c r="AF267" s="10"/>
      <c r="AG267" s="10"/>
      <c r="AH267" s="10"/>
      <c r="AI267" s="10"/>
    </row>
    <row r="268" ht="15.75" customHeight="1">
      <c r="A268" s="10"/>
      <c r="B268" s="10"/>
      <c r="C268" s="10"/>
      <c r="D268" s="10"/>
      <c r="E268" s="10"/>
      <c r="F268" s="10"/>
      <c r="G268" s="10"/>
      <c r="H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  <c r="AE268" s="10"/>
      <c r="AF268" s="10"/>
      <c r="AG268" s="10"/>
      <c r="AH268" s="10"/>
      <c r="AI268" s="10"/>
    </row>
    <row r="269" ht="15.75" customHeight="1">
      <c r="A269" s="10"/>
      <c r="B269" s="10"/>
      <c r="C269" s="10"/>
      <c r="D269" s="10"/>
      <c r="E269" s="10"/>
      <c r="F269" s="10"/>
      <c r="G269" s="10"/>
      <c r="H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  <c r="AE269" s="10"/>
      <c r="AF269" s="10"/>
      <c r="AG269" s="10"/>
      <c r="AH269" s="10"/>
      <c r="AI269" s="10"/>
    </row>
    <row r="270" ht="15.75" customHeight="1">
      <c r="A270" s="10"/>
      <c r="B270" s="10"/>
      <c r="C270" s="10"/>
      <c r="D270" s="10"/>
      <c r="E270" s="10"/>
      <c r="F270" s="10"/>
      <c r="G270" s="10"/>
      <c r="H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  <c r="AE270" s="10"/>
      <c r="AF270" s="10"/>
      <c r="AG270" s="10"/>
      <c r="AH270" s="10"/>
      <c r="AI270" s="10"/>
    </row>
    <row r="271" ht="15.75" customHeight="1">
      <c r="A271" s="10"/>
      <c r="B271" s="10"/>
      <c r="C271" s="10"/>
      <c r="D271" s="10"/>
      <c r="E271" s="10"/>
      <c r="F271" s="10"/>
      <c r="G271" s="10"/>
      <c r="H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  <c r="AE271" s="10"/>
      <c r="AF271" s="10"/>
      <c r="AG271" s="10"/>
      <c r="AH271" s="10"/>
      <c r="AI271" s="10"/>
    </row>
    <row r="272" ht="15.75" customHeight="1">
      <c r="A272" s="10"/>
      <c r="B272" s="10"/>
      <c r="C272" s="10"/>
      <c r="D272" s="10"/>
      <c r="E272" s="10"/>
      <c r="F272" s="10"/>
      <c r="G272" s="10"/>
      <c r="H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/>
      <c r="AF272" s="10"/>
      <c r="AG272" s="10"/>
      <c r="AH272" s="10"/>
      <c r="AI272" s="10"/>
    </row>
    <row r="273" ht="15.75" customHeight="1">
      <c r="A273" s="10"/>
      <c r="B273" s="10"/>
      <c r="C273" s="10"/>
      <c r="D273" s="10"/>
      <c r="E273" s="10"/>
      <c r="F273" s="10"/>
      <c r="G273" s="10"/>
      <c r="H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  <c r="AE273" s="10"/>
      <c r="AF273" s="10"/>
      <c r="AG273" s="10"/>
      <c r="AH273" s="10"/>
      <c r="AI273" s="10"/>
    </row>
    <row r="274" ht="15.75" customHeight="1">
      <c r="A274" s="10"/>
      <c r="B274" s="10"/>
      <c r="C274" s="10"/>
      <c r="D274" s="10"/>
      <c r="E274" s="10"/>
      <c r="F274" s="10"/>
      <c r="G274" s="10"/>
      <c r="H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  <c r="AE274" s="10"/>
      <c r="AF274" s="10"/>
      <c r="AG274" s="10"/>
      <c r="AH274" s="10"/>
      <c r="AI274" s="10"/>
    </row>
    <row r="275" ht="15.75" customHeight="1">
      <c r="A275" s="10"/>
      <c r="B275" s="10"/>
      <c r="C275" s="10"/>
      <c r="D275" s="10"/>
      <c r="E275" s="10"/>
      <c r="F275" s="10"/>
      <c r="G275" s="10"/>
      <c r="H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  <c r="AE275" s="10"/>
      <c r="AF275" s="10"/>
      <c r="AG275" s="10"/>
      <c r="AH275" s="10"/>
      <c r="AI275" s="10"/>
    </row>
    <row r="276" ht="15.75" customHeight="1">
      <c r="A276" s="10"/>
      <c r="B276" s="10"/>
      <c r="C276" s="10"/>
      <c r="D276" s="10"/>
      <c r="E276" s="10"/>
      <c r="F276" s="10"/>
      <c r="G276" s="10"/>
      <c r="H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  <c r="AE276" s="10"/>
      <c r="AF276" s="10"/>
      <c r="AG276" s="10"/>
      <c r="AH276" s="10"/>
      <c r="AI276" s="10"/>
    </row>
    <row r="277" ht="15.75" customHeight="1">
      <c r="A277" s="10"/>
      <c r="B277" s="10"/>
      <c r="C277" s="10"/>
      <c r="D277" s="10"/>
      <c r="E277" s="10"/>
      <c r="F277" s="10"/>
      <c r="G277" s="10"/>
      <c r="H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</row>
    <row r="278" ht="15.75" customHeight="1">
      <c r="A278" s="10"/>
      <c r="B278" s="10"/>
      <c r="C278" s="10"/>
      <c r="D278" s="10"/>
      <c r="E278" s="10"/>
      <c r="F278" s="10"/>
      <c r="G278" s="10"/>
      <c r="H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  <c r="AE278" s="10"/>
      <c r="AF278" s="10"/>
      <c r="AG278" s="10"/>
      <c r="AH278" s="10"/>
      <c r="AI278" s="10"/>
    </row>
    <row r="279" ht="15.75" customHeight="1">
      <c r="A279" s="10"/>
      <c r="B279" s="10"/>
      <c r="C279" s="10"/>
      <c r="D279" s="10"/>
      <c r="E279" s="10"/>
      <c r="F279" s="10"/>
      <c r="G279" s="10"/>
      <c r="H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  <c r="AE279" s="10"/>
      <c r="AF279" s="10"/>
      <c r="AG279" s="10"/>
      <c r="AH279" s="10"/>
      <c r="AI279" s="10"/>
    </row>
    <row r="280" ht="15.75" customHeight="1">
      <c r="A280" s="10"/>
      <c r="B280" s="10"/>
      <c r="C280" s="10"/>
      <c r="D280" s="10"/>
      <c r="E280" s="10"/>
      <c r="F280" s="10"/>
      <c r="G280" s="10"/>
      <c r="H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  <c r="AE280" s="10"/>
      <c r="AF280" s="10"/>
      <c r="AG280" s="10"/>
      <c r="AH280" s="10"/>
      <c r="AI280" s="10"/>
    </row>
    <row r="281" ht="15.75" customHeight="1">
      <c r="A281" s="10"/>
      <c r="B281" s="10"/>
      <c r="C281" s="10"/>
      <c r="D281" s="10"/>
      <c r="E281" s="10"/>
      <c r="F281" s="10"/>
      <c r="G281" s="10"/>
      <c r="H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  <c r="AE281" s="10"/>
      <c r="AF281" s="10"/>
      <c r="AG281" s="10"/>
      <c r="AH281" s="10"/>
      <c r="AI281" s="10"/>
    </row>
    <row r="282" ht="15.75" customHeight="1">
      <c r="A282" s="10"/>
      <c r="B282" s="10"/>
      <c r="C282" s="10"/>
      <c r="D282" s="10"/>
      <c r="E282" s="10"/>
      <c r="F282" s="10"/>
      <c r="G282" s="10"/>
      <c r="H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0"/>
      <c r="AF282" s="10"/>
      <c r="AG282" s="10"/>
      <c r="AH282" s="10"/>
      <c r="AI282" s="10"/>
    </row>
    <row r="283" ht="15.75" customHeight="1">
      <c r="A283" s="10"/>
      <c r="B283" s="10"/>
      <c r="C283" s="10"/>
      <c r="D283" s="10"/>
      <c r="E283" s="10"/>
      <c r="F283" s="10"/>
      <c r="G283" s="10"/>
      <c r="H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  <c r="AF283" s="10"/>
      <c r="AG283" s="10"/>
      <c r="AH283" s="10"/>
      <c r="AI283" s="10"/>
    </row>
    <row r="284" ht="15.75" customHeight="1">
      <c r="A284" s="10"/>
      <c r="B284" s="10"/>
      <c r="C284" s="10"/>
      <c r="D284" s="10"/>
      <c r="E284" s="10"/>
      <c r="F284" s="10"/>
      <c r="G284" s="10"/>
      <c r="H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</row>
    <row r="285" ht="15.75" customHeight="1">
      <c r="A285" s="10"/>
      <c r="B285" s="10"/>
      <c r="C285" s="10"/>
      <c r="D285" s="10"/>
      <c r="E285" s="10"/>
      <c r="F285" s="10"/>
      <c r="G285" s="10"/>
      <c r="H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0"/>
      <c r="AF285" s="10"/>
      <c r="AG285" s="10"/>
      <c r="AH285" s="10"/>
      <c r="AI285" s="10"/>
    </row>
    <row r="286" ht="15.75" customHeight="1">
      <c r="A286" s="10"/>
      <c r="B286" s="10"/>
      <c r="C286" s="10"/>
      <c r="D286" s="10"/>
      <c r="E286" s="10"/>
      <c r="F286" s="10"/>
      <c r="G286" s="10"/>
      <c r="H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</row>
    <row r="287" ht="15.75" customHeight="1">
      <c r="A287" s="10"/>
      <c r="B287" s="10"/>
      <c r="C287" s="10"/>
      <c r="D287" s="10"/>
      <c r="E287" s="10"/>
      <c r="F287" s="10"/>
      <c r="G287" s="10"/>
      <c r="H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  <c r="AG287" s="10"/>
      <c r="AH287" s="10"/>
      <c r="AI287" s="10"/>
    </row>
    <row r="288" ht="15.75" customHeight="1">
      <c r="A288" s="10"/>
      <c r="B288" s="10"/>
      <c r="C288" s="10"/>
      <c r="D288" s="10"/>
      <c r="E288" s="10"/>
      <c r="F288" s="10"/>
      <c r="G288" s="10"/>
      <c r="H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  <c r="AE288" s="10"/>
      <c r="AF288" s="10"/>
      <c r="AG288" s="10"/>
      <c r="AH288" s="10"/>
      <c r="AI288" s="10"/>
    </row>
    <row r="289" ht="15.75" customHeight="1">
      <c r="A289" s="10"/>
      <c r="B289" s="10"/>
      <c r="C289" s="10"/>
      <c r="D289" s="10"/>
      <c r="E289" s="10"/>
      <c r="F289" s="10"/>
      <c r="G289" s="10"/>
      <c r="H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  <c r="AG289" s="10"/>
      <c r="AH289" s="10"/>
      <c r="AI289" s="10"/>
    </row>
    <row r="290" ht="15.75" customHeight="1">
      <c r="A290" s="10"/>
      <c r="B290" s="10"/>
      <c r="C290" s="10"/>
      <c r="D290" s="10"/>
      <c r="E290" s="10"/>
      <c r="F290" s="10"/>
      <c r="G290" s="10"/>
      <c r="H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  <c r="AF290" s="10"/>
      <c r="AG290" s="10"/>
      <c r="AH290" s="10"/>
      <c r="AI290" s="10"/>
    </row>
    <row r="291" ht="15.75" customHeight="1">
      <c r="A291" s="10"/>
      <c r="B291" s="10"/>
      <c r="C291" s="10"/>
      <c r="D291" s="10"/>
      <c r="E291" s="10"/>
      <c r="F291" s="10"/>
      <c r="G291" s="10"/>
      <c r="H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  <c r="AF291" s="10"/>
      <c r="AG291" s="10"/>
      <c r="AH291" s="10"/>
      <c r="AI291" s="10"/>
    </row>
    <row r="292" ht="15.75" customHeight="1">
      <c r="A292" s="10"/>
      <c r="B292" s="10"/>
      <c r="C292" s="10"/>
      <c r="D292" s="10"/>
      <c r="E292" s="10"/>
      <c r="F292" s="10"/>
      <c r="G292" s="10"/>
      <c r="H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  <c r="AE292" s="10"/>
      <c r="AF292" s="10"/>
      <c r="AG292" s="10"/>
      <c r="AH292" s="10"/>
      <c r="AI292" s="10"/>
    </row>
    <row r="293" ht="15.75" customHeight="1">
      <c r="A293" s="10"/>
      <c r="B293" s="10"/>
      <c r="C293" s="10"/>
      <c r="D293" s="10"/>
      <c r="E293" s="10"/>
      <c r="F293" s="10"/>
      <c r="G293" s="10"/>
      <c r="H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  <c r="AE293" s="10"/>
      <c r="AF293" s="10"/>
      <c r="AG293" s="10"/>
      <c r="AH293" s="10"/>
      <c r="AI293" s="10"/>
    </row>
    <row r="294" ht="15.75" customHeight="1">
      <c r="A294" s="10"/>
      <c r="B294" s="10"/>
      <c r="C294" s="10"/>
      <c r="D294" s="10"/>
      <c r="E294" s="10"/>
      <c r="F294" s="10"/>
      <c r="G294" s="10"/>
      <c r="H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</row>
    <row r="295" ht="15.75" customHeight="1">
      <c r="A295" s="10"/>
      <c r="B295" s="10"/>
      <c r="C295" s="10"/>
      <c r="D295" s="10"/>
      <c r="E295" s="10"/>
      <c r="F295" s="10"/>
      <c r="G295" s="10"/>
      <c r="H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  <c r="AE295" s="10"/>
      <c r="AF295" s="10"/>
      <c r="AG295" s="10"/>
      <c r="AH295" s="10"/>
      <c r="AI295" s="10"/>
    </row>
    <row r="296" ht="15.75" customHeight="1">
      <c r="A296" s="10"/>
      <c r="B296" s="10"/>
      <c r="C296" s="10"/>
      <c r="D296" s="10"/>
      <c r="E296" s="10"/>
      <c r="F296" s="10"/>
      <c r="G296" s="10"/>
      <c r="H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  <c r="AE296" s="10"/>
      <c r="AF296" s="10"/>
      <c r="AG296" s="10"/>
      <c r="AH296" s="10"/>
      <c r="AI296" s="10"/>
    </row>
    <row r="297" ht="15.75" customHeight="1">
      <c r="A297" s="10"/>
      <c r="B297" s="10"/>
      <c r="C297" s="10"/>
      <c r="D297" s="10"/>
      <c r="E297" s="10"/>
      <c r="F297" s="10"/>
      <c r="G297" s="10"/>
      <c r="H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  <c r="AE297" s="10"/>
      <c r="AF297" s="10"/>
      <c r="AG297" s="10"/>
      <c r="AH297" s="10"/>
      <c r="AI297" s="10"/>
    </row>
    <row r="298" ht="15.75" customHeight="1">
      <c r="A298" s="10"/>
      <c r="B298" s="10"/>
      <c r="C298" s="10"/>
      <c r="D298" s="10"/>
      <c r="E298" s="10"/>
      <c r="F298" s="10"/>
      <c r="G298" s="10"/>
      <c r="H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  <c r="AE298" s="10"/>
      <c r="AF298" s="10"/>
      <c r="AG298" s="10"/>
      <c r="AH298" s="10"/>
      <c r="AI298" s="10"/>
    </row>
    <row r="299" ht="15.75" customHeight="1">
      <c r="A299" s="10"/>
      <c r="B299" s="10"/>
      <c r="C299" s="10"/>
      <c r="D299" s="10"/>
      <c r="E299" s="10"/>
      <c r="F299" s="10"/>
      <c r="G299" s="10"/>
      <c r="H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  <c r="AE299" s="10"/>
      <c r="AF299" s="10"/>
      <c r="AG299" s="10"/>
      <c r="AH299" s="10"/>
      <c r="AI299" s="10"/>
    </row>
    <row r="300" ht="15.75" customHeight="1">
      <c r="A300" s="10"/>
      <c r="B300" s="10"/>
      <c r="C300" s="10"/>
      <c r="D300" s="10"/>
      <c r="E300" s="10"/>
      <c r="F300" s="10"/>
      <c r="G300" s="10"/>
      <c r="H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  <c r="AE300" s="10"/>
      <c r="AF300" s="10"/>
      <c r="AG300" s="10"/>
      <c r="AH300" s="10"/>
      <c r="AI300" s="10"/>
    </row>
    <row r="301" ht="15.75" customHeight="1">
      <c r="A301" s="10"/>
      <c r="B301" s="10"/>
      <c r="C301" s="10"/>
      <c r="D301" s="10"/>
      <c r="E301" s="10"/>
      <c r="F301" s="10"/>
      <c r="G301" s="10"/>
      <c r="H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</row>
    <row r="302" ht="15.75" customHeight="1">
      <c r="A302" s="10"/>
      <c r="B302" s="10"/>
      <c r="C302" s="10"/>
      <c r="D302" s="10"/>
      <c r="E302" s="10"/>
      <c r="F302" s="10"/>
      <c r="G302" s="10"/>
      <c r="H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</row>
    <row r="303" ht="15.75" customHeight="1">
      <c r="A303" s="10"/>
      <c r="B303" s="10"/>
      <c r="C303" s="10"/>
      <c r="D303" s="10"/>
      <c r="E303" s="10"/>
      <c r="F303" s="10"/>
      <c r="G303" s="10"/>
      <c r="H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</row>
    <row r="304" ht="15.75" customHeight="1">
      <c r="A304" s="10"/>
      <c r="B304" s="10"/>
      <c r="C304" s="10"/>
      <c r="D304" s="10"/>
      <c r="E304" s="10"/>
      <c r="F304" s="10"/>
      <c r="G304" s="10"/>
      <c r="H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  <c r="AE304" s="10"/>
      <c r="AF304" s="10"/>
      <c r="AG304" s="10"/>
      <c r="AH304" s="10"/>
      <c r="AI304" s="10"/>
    </row>
    <row r="305" ht="15.75" customHeight="1">
      <c r="A305" s="10"/>
      <c r="B305" s="10"/>
      <c r="C305" s="10"/>
      <c r="D305" s="10"/>
      <c r="E305" s="10"/>
      <c r="F305" s="10"/>
      <c r="G305" s="10"/>
      <c r="H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</row>
    <row r="306" ht="15.75" customHeight="1">
      <c r="A306" s="10"/>
      <c r="B306" s="10"/>
      <c r="C306" s="10"/>
      <c r="D306" s="10"/>
      <c r="E306" s="10"/>
      <c r="F306" s="10"/>
      <c r="G306" s="10"/>
      <c r="H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</row>
    <row r="307" ht="15.75" customHeight="1">
      <c r="A307" s="10"/>
      <c r="B307" s="10"/>
      <c r="C307" s="10"/>
      <c r="D307" s="10"/>
      <c r="E307" s="10"/>
      <c r="F307" s="10"/>
      <c r="G307" s="10"/>
      <c r="H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  <c r="AG307" s="10"/>
      <c r="AH307" s="10"/>
      <c r="AI307" s="10"/>
    </row>
    <row r="308" ht="15.75" customHeight="1">
      <c r="A308" s="10"/>
      <c r="B308" s="10"/>
      <c r="C308" s="10"/>
      <c r="D308" s="10"/>
      <c r="E308" s="10"/>
      <c r="F308" s="10"/>
      <c r="G308" s="10"/>
      <c r="H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</row>
    <row r="309" ht="15.75" customHeight="1">
      <c r="A309" s="10"/>
      <c r="B309" s="10"/>
      <c r="C309" s="10"/>
      <c r="D309" s="10"/>
      <c r="E309" s="10"/>
      <c r="F309" s="10"/>
      <c r="G309" s="10"/>
      <c r="H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</row>
    <row r="310" ht="15.75" customHeight="1">
      <c r="A310" s="10"/>
      <c r="B310" s="10"/>
      <c r="C310" s="10"/>
      <c r="D310" s="10"/>
      <c r="E310" s="10"/>
      <c r="F310" s="10"/>
      <c r="G310" s="10"/>
      <c r="H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</row>
    <row r="311" ht="15.75" customHeight="1">
      <c r="A311" s="10"/>
      <c r="B311" s="10"/>
      <c r="C311" s="10"/>
      <c r="D311" s="10"/>
      <c r="E311" s="10"/>
      <c r="F311" s="10"/>
      <c r="G311" s="10"/>
      <c r="H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  <c r="AE311" s="10"/>
      <c r="AF311" s="10"/>
      <c r="AG311" s="10"/>
      <c r="AH311" s="10"/>
      <c r="AI311" s="10"/>
    </row>
    <row r="312" ht="15.75" customHeight="1">
      <c r="A312" s="10"/>
      <c r="B312" s="10"/>
      <c r="C312" s="10"/>
      <c r="D312" s="10"/>
      <c r="E312" s="10"/>
      <c r="F312" s="10"/>
      <c r="G312" s="10"/>
      <c r="H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  <c r="AE312" s="10"/>
      <c r="AF312" s="10"/>
      <c r="AG312" s="10"/>
      <c r="AH312" s="10"/>
      <c r="AI312" s="10"/>
    </row>
    <row r="313" ht="15.75" customHeight="1">
      <c r="A313" s="10"/>
      <c r="B313" s="10"/>
      <c r="C313" s="10"/>
      <c r="D313" s="10"/>
      <c r="E313" s="10"/>
      <c r="F313" s="10"/>
      <c r="G313" s="10"/>
      <c r="H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</row>
    <row r="314" ht="15.75" customHeight="1">
      <c r="A314" s="10"/>
      <c r="B314" s="10"/>
      <c r="C314" s="10"/>
      <c r="D314" s="10"/>
      <c r="E314" s="10"/>
      <c r="F314" s="10"/>
      <c r="G314" s="10"/>
      <c r="H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  <c r="AE314" s="10"/>
      <c r="AF314" s="10"/>
      <c r="AG314" s="10"/>
      <c r="AH314" s="10"/>
      <c r="AI314" s="10"/>
    </row>
    <row r="315" ht="15.75" customHeight="1">
      <c r="A315" s="10"/>
      <c r="B315" s="10"/>
      <c r="C315" s="10"/>
      <c r="D315" s="10"/>
      <c r="E315" s="10"/>
      <c r="F315" s="10"/>
      <c r="G315" s="10"/>
      <c r="H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  <c r="AF315" s="10"/>
      <c r="AG315" s="10"/>
      <c r="AH315" s="10"/>
      <c r="AI315" s="10"/>
    </row>
    <row r="316" ht="15.75" customHeight="1">
      <c r="A316" s="10"/>
      <c r="B316" s="10"/>
      <c r="C316" s="10"/>
      <c r="D316" s="10"/>
      <c r="E316" s="10"/>
      <c r="F316" s="10"/>
      <c r="G316" s="10"/>
      <c r="H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  <c r="AG316" s="10"/>
      <c r="AH316" s="10"/>
      <c r="AI316" s="10"/>
    </row>
    <row r="317" ht="15.75" customHeight="1">
      <c r="A317" s="10"/>
      <c r="B317" s="10"/>
      <c r="C317" s="10"/>
      <c r="D317" s="10"/>
      <c r="E317" s="10"/>
      <c r="F317" s="10"/>
      <c r="G317" s="10"/>
      <c r="H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  <c r="AE317" s="10"/>
      <c r="AF317" s="10"/>
      <c r="AG317" s="10"/>
      <c r="AH317" s="10"/>
      <c r="AI317" s="10"/>
    </row>
    <row r="318" ht="15.75" customHeight="1">
      <c r="A318" s="10"/>
      <c r="B318" s="10"/>
      <c r="C318" s="10"/>
      <c r="D318" s="10"/>
      <c r="E318" s="10"/>
      <c r="F318" s="10"/>
      <c r="G318" s="10"/>
      <c r="H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</row>
    <row r="319" ht="15.75" customHeight="1">
      <c r="A319" s="10"/>
      <c r="B319" s="10"/>
      <c r="C319" s="10"/>
      <c r="D319" s="10"/>
      <c r="E319" s="10"/>
      <c r="F319" s="10"/>
      <c r="G319" s="10"/>
      <c r="H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</row>
    <row r="320" ht="15.75" customHeight="1">
      <c r="A320" s="10"/>
      <c r="B320" s="10"/>
      <c r="C320" s="10"/>
      <c r="D320" s="10"/>
      <c r="E320" s="10"/>
      <c r="F320" s="10"/>
      <c r="G320" s="10"/>
      <c r="H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  <c r="AG320" s="10"/>
      <c r="AH320" s="10"/>
      <c r="AI320" s="10"/>
    </row>
    <row r="321" ht="15.75" customHeight="1">
      <c r="A321" s="10"/>
      <c r="B321" s="10"/>
      <c r="C321" s="10"/>
      <c r="D321" s="10"/>
      <c r="E321" s="10"/>
      <c r="F321" s="10"/>
      <c r="G321" s="10"/>
      <c r="H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  <c r="AE321" s="10"/>
      <c r="AF321" s="10"/>
      <c r="AG321" s="10"/>
      <c r="AH321" s="10"/>
      <c r="AI321" s="10"/>
    </row>
    <row r="322" ht="15.75" customHeight="1">
      <c r="A322" s="10"/>
      <c r="B322" s="10"/>
      <c r="C322" s="10"/>
      <c r="D322" s="10"/>
      <c r="E322" s="10"/>
      <c r="F322" s="10"/>
      <c r="G322" s="10"/>
      <c r="H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</row>
    <row r="323" ht="15.75" customHeight="1">
      <c r="A323" s="10"/>
      <c r="B323" s="10"/>
      <c r="C323" s="10"/>
      <c r="D323" s="10"/>
      <c r="E323" s="10"/>
      <c r="F323" s="10"/>
      <c r="G323" s="10"/>
      <c r="H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/>
      <c r="AG323" s="10"/>
      <c r="AH323" s="10"/>
      <c r="AI323" s="10"/>
    </row>
    <row r="324" ht="15.75" customHeight="1">
      <c r="A324" s="10"/>
      <c r="B324" s="10"/>
      <c r="C324" s="10"/>
      <c r="D324" s="10"/>
      <c r="E324" s="10"/>
      <c r="F324" s="10"/>
      <c r="G324" s="10"/>
      <c r="H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</row>
    <row r="325" ht="15.75" customHeight="1">
      <c r="A325" s="10"/>
      <c r="B325" s="10"/>
      <c r="C325" s="10"/>
      <c r="D325" s="10"/>
      <c r="E325" s="10"/>
      <c r="F325" s="10"/>
      <c r="G325" s="10"/>
      <c r="H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  <c r="AG325" s="10"/>
      <c r="AH325" s="10"/>
      <c r="AI325" s="10"/>
    </row>
    <row r="326" ht="15.75" customHeight="1">
      <c r="A326" s="10"/>
      <c r="B326" s="10"/>
      <c r="C326" s="10"/>
      <c r="D326" s="10"/>
      <c r="E326" s="10"/>
      <c r="F326" s="10"/>
      <c r="G326" s="10"/>
      <c r="H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  <c r="AG327" s="10"/>
      <c r="AH327" s="10"/>
      <c r="AI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  <c r="AG328" s="10"/>
      <c r="AH328" s="10"/>
      <c r="AI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  <c r="AG331" s="10"/>
      <c r="AH331" s="10"/>
      <c r="AI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  <c r="AE332" s="10"/>
      <c r="AF332" s="10"/>
      <c r="AG332" s="10"/>
      <c r="AH332" s="10"/>
      <c r="AI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  <c r="AG334" s="10"/>
      <c r="AH334" s="10"/>
      <c r="AI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  <c r="AE335" s="10"/>
      <c r="AF335" s="10"/>
      <c r="AG335" s="10"/>
      <c r="AH335" s="10"/>
      <c r="AI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  <c r="AG336" s="10"/>
      <c r="AH336" s="10"/>
      <c r="AI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  <c r="AH411" s="10"/>
      <c r="AI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  <c r="AH413" s="10"/>
      <c r="AI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  <c r="AH417" s="10"/>
      <c r="AI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  <c r="AH427" s="10"/>
      <c r="AI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  <c r="AH443" s="10"/>
      <c r="AI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  <c r="AH444" s="10"/>
      <c r="AI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  <c r="AH450" s="10"/>
      <c r="AI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  <c r="AH452" s="10"/>
      <c r="AI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  <c r="AH454" s="10"/>
      <c r="AI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  <c r="AH455" s="10"/>
      <c r="AI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  <c r="AH457" s="10"/>
      <c r="AI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  <c r="AH458" s="10"/>
      <c r="AI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  <c r="AH459" s="10"/>
      <c r="AI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  <c r="AH460" s="10"/>
      <c r="AI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  <c r="AH461" s="10"/>
      <c r="AI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  <c r="AH462" s="10"/>
      <c r="AI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  <c r="AH463" s="10"/>
      <c r="AI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  <c r="AH464" s="10"/>
      <c r="AI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  <c r="AH465" s="10"/>
      <c r="AI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  <c r="AH466" s="10"/>
      <c r="AI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  <c r="AH467" s="10"/>
      <c r="AI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  <c r="AH468" s="10"/>
      <c r="AI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  <c r="AH469" s="10"/>
      <c r="AI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  <c r="AH470" s="10"/>
      <c r="AI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  <c r="AH471" s="10"/>
      <c r="AI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  <c r="AH472" s="10"/>
      <c r="AI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  <c r="AH473" s="10"/>
      <c r="AI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  <c r="AH474" s="10"/>
      <c r="AI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  <c r="AH479" s="10"/>
      <c r="AI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  <c r="AH480" s="10"/>
      <c r="AI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  <c r="AH481" s="10"/>
      <c r="AI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  <c r="AH482" s="10"/>
      <c r="AI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  <c r="AH483" s="10"/>
      <c r="AI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  <c r="AH484" s="10"/>
      <c r="AI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  <c r="AH485" s="10"/>
      <c r="AI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  <c r="AH486" s="10"/>
      <c r="AI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  <c r="AH487" s="10"/>
      <c r="AI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  <c r="AH488" s="10"/>
      <c r="AI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  <c r="AH489" s="10"/>
      <c r="AI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  <c r="AH490" s="10"/>
      <c r="AI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  <c r="AH491" s="10"/>
      <c r="AI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  <c r="AH492" s="10"/>
      <c r="AI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  <c r="AH493" s="10"/>
      <c r="AI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  <c r="AH494" s="10"/>
      <c r="AI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  <c r="AH495" s="10"/>
      <c r="AI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  <c r="AH496" s="10"/>
      <c r="AI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  <c r="AH497" s="10"/>
      <c r="AI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  <c r="AH498" s="10"/>
      <c r="AI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  <c r="AH499" s="10"/>
      <c r="AI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  <c r="AH500" s="10"/>
      <c r="AI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  <c r="AH501" s="10"/>
      <c r="AI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  <c r="AH502" s="10"/>
      <c r="AI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  <c r="AH503" s="10"/>
      <c r="AI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  <c r="AH504" s="10"/>
      <c r="AI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  <c r="AH505" s="10"/>
      <c r="AI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  <c r="AH506" s="10"/>
      <c r="AI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  <c r="AH507" s="10"/>
      <c r="AI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  <c r="AH508" s="10"/>
      <c r="AI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  <c r="AH509" s="10"/>
      <c r="AI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  <c r="AH510" s="10"/>
      <c r="AI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  <c r="AH511" s="10"/>
      <c r="AI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  <c r="AH512" s="10"/>
      <c r="AI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  <c r="AH513" s="10"/>
      <c r="AI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  <c r="AH514" s="10"/>
      <c r="AI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  <c r="AH515" s="10"/>
      <c r="AI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  <c r="AH516" s="10"/>
      <c r="AI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  <c r="AH517" s="10"/>
      <c r="AI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  <c r="AH518" s="10"/>
      <c r="AI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  <c r="AH519" s="10"/>
      <c r="AI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  <c r="AH520" s="10"/>
      <c r="AI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  <c r="AH521" s="10"/>
      <c r="AI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  <c r="AH522" s="10"/>
      <c r="AI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  <c r="AH523" s="10"/>
      <c r="AI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  <c r="AH524" s="10"/>
      <c r="AI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  <c r="AH525" s="10"/>
      <c r="AI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  <c r="AH526" s="10"/>
      <c r="AI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  <c r="AH527" s="10"/>
      <c r="AI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  <c r="AH528" s="10"/>
      <c r="AI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  <c r="AH529" s="10"/>
      <c r="AI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  <c r="AH530" s="10"/>
      <c r="AI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  <c r="AH531" s="10"/>
      <c r="AI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  <c r="AH532" s="10"/>
      <c r="AI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  <c r="AH533" s="10"/>
      <c r="AI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  <c r="AH534" s="10"/>
      <c r="AI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  <c r="AH535" s="10"/>
      <c r="AI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  <c r="AH536" s="10"/>
      <c r="AI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  <c r="AH537" s="10"/>
      <c r="AI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  <c r="AH538" s="10"/>
      <c r="AI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  <c r="AH539" s="10"/>
      <c r="AI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  <c r="AH540" s="10"/>
      <c r="AI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  <c r="AH541" s="10"/>
      <c r="AI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  <c r="AH542" s="10"/>
      <c r="AI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  <c r="AH543" s="10"/>
      <c r="AI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  <c r="AH544" s="10"/>
      <c r="AI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  <c r="AH545" s="10"/>
      <c r="AI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  <c r="AH546" s="10"/>
      <c r="AI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  <c r="AH547" s="10"/>
      <c r="AI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  <c r="AH548" s="10"/>
      <c r="AI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  <c r="AH549" s="10"/>
      <c r="AI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  <c r="AH550" s="10"/>
      <c r="AI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  <c r="AH551" s="10"/>
      <c r="AI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  <c r="AH552" s="10"/>
      <c r="AI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  <c r="AH553" s="10"/>
      <c r="AI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  <c r="AH554" s="10"/>
      <c r="AI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  <c r="AH555" s="10"/>
      <c r="AI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  <c r="AH556" s="10"/>
      <c r="AI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  <c r="AH557" s="10"/>
      <c r="AI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  <c r="AH558" s="10"/>
      <c r="AI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  <c r="AH559" s="10"/>
      <c r="AI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  <c r="AH560" s="10"/>
      <c r="AI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  <c r="AH561" s="10"/>
      <c r="AI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  <c r="AH562" s="10"/>
      <c r="AI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  <c r="AH563" s="10"/>
      <c r="AI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  <c r="AH564" s="10"/>
      <c r="AI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  <c r="AH565" s="10"/>
      <c r="AI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  <c r="AH566" s="10"/>
      <c r="AI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  <c r="AH567" s="10"/>
      <c r="AI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  <c r="AH568" s="10"/>
      <c r="AI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  <c r="AH569" s="10"/>
      <c r="AI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  <c r="AH570" s="10"/>
      <c r="AI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  <c r="AH571" s="10"/>
      <c r="AI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  <c r="AH572" s="10"/>
      <c r="AI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  <c r="AH573" s="10"/>
      <c r="AI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  <c r="AH574" s="10"/>
      <c r="AI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  <c r="AH575" s="10"/>
      <c r="AI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  <c r="AH576" s="10"/>
      <c r="AI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  <c r="AH577" s="10"/>
      <c r="AI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  <c r="AH578" s="10"/>
      <c r="AI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  <c r="AH579" s="10"/>
      <c r="AI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  <c r="AH580" s="10"/>
      <c r="AI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  <c r="AH581" s="10"/>
      <c r="AI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  <c r="AH582" s="10"/>
      <c r="AI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  <c r="AH583" s="10"/>
      <c r="AI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  <c r="AH584" s="10"/>
      <c r="AI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  <c r="AH585" s="10"/>
      <c r="AI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  <c r="AH586" s="10"/>
      <c r="AI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  <c r="AH587" s="10"/>
      <c r="AI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  <c r="AH588" s="10"/>
      <c r="AI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  <c r="AH589" s="10"/>
      <c r="AI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  <c r="AH590" s="10"/>
      <c r="AI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  <c r="AH591" s="10"/>
      <c r="AI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  <c r="AH592" s="10"/>
      <c r="AI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  <c r="AH593" s="10"/>
      <c r="AI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  <c r="AH594" s="10"/>
      <c r="AI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  <c r="AH595" s="10"/>
      <c r="AI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  <c r="AH596" s="10"/>
      <c r="AI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  <c r="AH597" s="10"/>
      <c r="AI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  <c r="AH598" s="10"/>
      <c r="AI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  <c r="AH599" s="10"/>
      <c r="AI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  <c r="AH600" s="10"/>
      <c r="AI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  <c r="AH601" s="10"/>
      <c r="AI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  <c r="AH602" s="10"/>
      <c r="AI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  <c r="AH603" s="10"/>
      <c r="AI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  <c r="AH604" s="10"/>
      <c r="AI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  <c r="AH605" s="10"/>
      <c r="AI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  <c r="AH606" s="10"/>
      <c r="AI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  <c r="AH607" s="10"/>
      <c r="AI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  <c r="AH608" s="10"/>
      <c r="AI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  <c r="AH609" s="10"/>
      <c r="AI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  <c r="AH610" s="10"/>
      <c r="AI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  <c r="AH611" s="10"/>
      <c r="AI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  <c r="AH612" s="10"/>
      <c r="AI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  <c r="AH613" s="10"/>
      <c r="AI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  <c r="AH614" s="10"/>
      <c r="AI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  <c r="AH615" s="10"/>
      <c r="AI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  <c r="AH616" s="10"/>
      <c r="AI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  <c r="AH617" s="10"/>
      <c r="AI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  <c r="AH618" s="10"/>
      <c r="AI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  <c r="AH619" s="10"/>
      <c r="AI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  <c r="AH620" s="10"/>
      <c r="AI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  <c r="AH621" s="10"/>
      <c r="AI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  <c r="AH622" s="10"/>
      <c r="AI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  <c r="AH623" s="10"/>
      <c r="AI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  <c r="AH624" s="10"/>
      <c r="AI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  <c r="AH625" s="10"/>
      <c r="AI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  <c r="AH626" s="10"/>
      <c r="AI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  <c r="AH627" s="10"/>
      <c r="AI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  <c r="AH628" s="10"/>
      <c r="AI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  <c r="AH629" s="10"/>
      <c r="AI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  <c r="AH630" s="10"/>
      <c r="AI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  <c r="AH631" s="10"/>
      <c r="AI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  <c r="AH632" s="10"/>
      <c r="AI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  <c r="AH633" s="10"/>
      <c r="AI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  <c r="AH634" s="10"/>
      <c r="AI634" s="10"/>
    </row>
    <row r="635" ht="15.75" customHeight="1">
      <c r="A635" s="10"/>
      <c r="B635" s="10"/>
      <c r="C635" s="10"/>
      <c r="D635" s="10"/>
      <c r="E635" s="10"/>
      <c r="F635" s="10"/>
      <c r="G635" s="10"/>
      <c r="H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  <c r="AH635" s="10"/>
      <c r="AI635" s="10"/>
    </row>
    <row r="636" ht="15.75" customHeight="1">
      <c r="A636" s="10"/>
      <c r="B636" s="10"/>
      <c r="C636" s="10"/>
      <c r="D636" s="10"/>
      <c r="E636" s="10"/>
      <c r="F636" s="10"/>
      <c r="G636" s="10"/>
      <c r="H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  <c r="AH636" s="10"/>
      <c r="AI636" s="10"/>
    </row>
    <row r="637" ht="15.75" customHeight="1">
      <c r="A637" s="10"/>
      <c r="B637" s="10"/>
      <c r="C637" s="10"/>
      <c r="D637" s="10"/>
      <c r="E637" s="10"/>
      <c r="F637" s="10"/>
      <c r="G637" s="10"/>
      <c r="H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  <c r="AH637" s="10"/>
      <c r="AI637" s="10"/>
    </row>
    <row r="638" ht="15.75" customHeight="1">
      <c r="A638" s="10"/>
      <c r="B638" s="10"/>
      <c r="C638" s="10"/>
      <c r="D638" s="10"/>
      <c r="E638" s="10"/>
      <c r="F638" s="10"/>
      <c r="G638" s="10"/>
      <c r="H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  <c r="AH638" s="10"/>
      <c r="AI638" s="10"/>
    </row>
    <row r="639" ht="15.75" customHeight="1">
      <c r="A639" s="10"/>
      <c r="B639" s="10"/>
      <c r="C639" s="10"/>
      <c r="D639" s="10"/>
      <c r="E639" s="10"/>
      <c r="F639" s="10"/>
      <c r="G639" s="10"/>
      <c r="H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  <c r="AH639" s="10"/>
      <c r="AI639" s="10"/>
    </row>
    <row r="640" ht="15.75" customHeight="1">
      <c r="A640" s="10"/>
      <c r="B640" s="10"/>
      <c r="C640" s="10"/>
      <c r="D640" s="10"/>
      <c r="E640" s="10"/>
      <c r="F640" s="10"/>
      <c r="G640" s="10"/>
      <c r="H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  <c r="AH640" s="10"/>
      <c r="AI640" s="10"/>
    </row>
    <row r="641" ht="15.75" customHeight="1">
      <c r="A641" s="10"/>
      <c r="B641" s="10"/>
      <c r="C641" s="10"/>
      <c r="D641" s="10"/>
      <c r="E641" s="10"/>
      <c r="F641" s="10"/>
      <c r="G641" s="10"/>
      <c r="H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  <c r="AH641" s="10"/>
      <c r="AI641" s="10"/>
    </row>
    <row r="642" ht="15.75" customHeight="1">
      <c r="A642" s="10"/>
      <c r="B642" s="10"/>
      <c r="C642" s="10"/>
      <c r="D642" s="10"/>
      <c r="E642" s="10"/>
      <c r="F642" s="10"/>
      <c r="G642" s="10"/>
      <c r="H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  <c r="AH642" s="10"/>
      <c r="AI642" s="10"/>
    </row>
    <row r="643" ht="15.75" customHeight="1">
      <c r="A643" s="10"/>
      <c r="B643" s="10"/>
      <c r="C643" s="10"/>
      <c r="D643" s="10"/>
      <c r="E643" s="10"/>
      <c r="F643" s="10"/>
      <c r="G643" s="10"/>
      <c r="H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  <c r="AH643" s="10"/>
      <c r="AI643" s="10"/>
    </row>
    <row r="644" ht="15.75" customHeight="1">
      <c r="A644" s="10"/>
      <c r="B644" s="10"/>
      <c r="C644" s="10"/>
      <c r="D644" s="10"/>
      <c r="E644" s="10"/>
      <c r="F644" s="10"/>
      <c r="G644" s="10"/>
      <c r="H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  <c r="AH644" s="10"/>
      <c r="AI644" s="10"/>
    </row>
    <row r="645" ht="15.75" customHeight="1">
      <c r="A645" s="10"/>
      <c r="B645" s="10"/>
      <c r="C645" s="10"/>
      <c r="D645" s="10"/>
      <c r="E645" s="10"/>
      <c r="F645" s="10"/>
      <c r="G645" s="10"/>
      <c r="H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  <c r="AH645" s="10"/>
      <c r="AI645" s="10"/>
    </row>
    <row r="646" ht="15.75" customHeight="1">
      <c r="A646" s="10"/>
      <c r="B646" s="10"/>
      <c r="C646" s="10"/>
      <c r="D646" s="10"/>
      <c r="E646" s="10"/>
      <c r="F646" s="10"/>
      <c r="G646" s="10"/>
      <c r="H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  <c r="AH646" s="10"/>
      <c r="AI646" s="10"/>
    </row>
    <row r="647" ht="15.75" customHeight="1">
      <c r="A647" s="10"/>
      <c r="B647" s="10"/>
      <c r="C647" s="10"/>
      <c r="D647" s="10"/>
      <c r="E647" s="10"/>
      <c r="F647" s="10"/>
      <c r="G647" s="10"/>
      <c r="H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  <c r="AH647" s="10"/>
      <c r="AI647" s="10"/>
    </row>
    <row r="648" ht="15.75" customHeight="1">
      <c r="A648" s="10"/>
      <c r="B648" s="10"/>
      <c r="C648" s="10"/>
      <c r="D648" s="10"/>
      <c r="E648" s="10"/>
      <c r="F648" s="10"/>
      <c r="G648" s="10"/>
      <c r="H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  <c r="AH648" s="10"/>
      <c r="AI648" s="10"/>
    </row>
    <row r="649" ht="15.75" customHeight="1">
      <c r="A649" s="10"/>
      <c r="B649" s="10"/>
      <c r="C649" s="10"/>
      <c r="D649" s="10"/>
      <c r="E649" s="10"/>
      <c r="F649" s="10"/>
      <c r="G649" s="10"/>
      <c r="H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  <c r="AH649" s="10"/>
      <c r="AI649" s="10"/>
    </row>
    <row r="650" ht="15.75" customHeight="1">
      <c r="A650" s="10"/>
      <c r="B650" s="10"/>
      <c r="C650" s="10"/>
      <c r="D650" s="10"/>
      <c r="E650" s="10"/>
      <c r="F650" s="10"/>
      <c r="G650" s="10"/>
      <c r="H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  <c r="AH650" s="10"/>
      <c r="AI650" s="10"/>
    </row>
    <row r="651" ht="15.75" customHeight="1">
      <c r="A651" s="10"/>
      <c r="B651" s="10"/>
      <c r="C651" s="10"/>
      <c r="D651" s="10"/>
      <c r="E651" s="10"/>
      <c r="F651" s="10"/>
      <c r="G651" s="10"/>
      <c r="H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  <c r="AH651" s="10"/>
      <c r="AI651" s="10"/>
    </row>
    <row r="652" ht="15.75" customHeight="1">
      <c r="A652" s="10"/>
      <c r="B652" s="10"/>
      <c r="C652" s="10"/>
      <c r="D652" s="10"/>
      <c r="E652" s="10"/>
      <c r="F652" s="10"/>
      <c r="G652" s="10"/>
      <c r="H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  <c r="AH652" s="10"/>
      <c r="AI652" s="10"/>
    </row>
    <row r="653" ht="15.75" customHeight="1">
      <c r="A653" s="10"/>
      <c r="B653" s="10"/>
      <c r="C653" s="10"/>
      <c r="D653" s="10"/>
      <c r="E653" s="10"/>
      <c r="F653" s="10"/>
      <c r="G653" s="10"/>
      <c r="H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  <c r="AH653" s="10"/>
      <c r="AI653" s="10"/>
    </row>
    <row r="654" ht="15.75" customHeight="1">
      <c r="A654" s="10"/>
      <c r="B654" s="10"/>
      <c r="C654" s="10"/>
      <c r="D654" s="10"/>
      <c r="E654" s="10"/>
      <c r="F654" s="10"/>
      <c r="G654" s="10"/>
      <c r="H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  <c r="AH654" s="10"/>
      <c r="AI654" s="10"/>
    </row>
    <row r="655" ht="15.75" customHeight="1">
      <c r="A655" s="10"/>
      <c r="B655" s="10"/>
      <c r="C655" s="10"/>
      <c r="D655" s="10"/>
      <c r="E655" s="10"/>
      <c r="F655" s="10"/>
      <c r="G655" s="10"/>
      <c r="H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  <c r="AH655" s="10"/>
      <c r="AI655" s="10"/>
    </row>
    <row r="656" ht="15.75" customHeight="1">
      <c r="A656" s="10"/>
      <c r="B656" s="10"/>
      <c r="C656" s="10"/>
      <c r="D656" s="10"/>
      <c r="E656" s="10"/>
      <c r="F656" s="10"/>
      <c r="G656" s="10"/>
      <c r="H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  <c r="AH656" s="10"/>
      <c r="AI656" s="10"/>
    </row>
    <row r="657" ht="15.75" customHeight="1">
      <c r="A657" s="10"/>
      <c r="B657" s="10"/>
      <c r="C657" s="10"/>
      <c r="D657" s="10"/>
      <c r="E657" s="10"/>
      <c r="F657" s="10"/>
      <c r="G657" s="10"/>
      <c r="H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  <c r="AH657" s="10"/>
      <c r="AI657" s="10"/>
    </row>
    <row r="658" ht="15.75" customHeight="1">
      <c r="A658" s="10"/>
      <c r="B658" s="10"/>
      <c r="C658" s="10"/>
      <c r="D658" s="10"/>
      <c r="E658" s="10"/>
      <c r="F658" s="10"/>
      <c r="G658" s="10"/>
      <c r="H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  <c r="AH658" s="10"/>
      <c r="AI658" s="10"/>
    </row>
    <row r="659" ht="15.75" customHeight="1">
      <c r="A659" s="10"/>
      <c r="B659" s="10"/>
      <c r="C659" s="10"/>
      <c r="D659" s="10"/>
      <c r="E659" s="10"/>
      <c r="F659" s="10"/>
      <c r="G659" s="10"/>
      <c r="H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  <c r="AH659" s="10"/>
      <c r="AI659" s="10"/>
    </row>
    <row r="660" ht="15.75" customHeight="1">
      <c r="A660" s="10"/>
      <c r="B660" s="10"/>
      <c r="C660" s="10"/>
      <c r="D660" s="10"/>
      <c r="E660" s="10"/>
      <c r="F660" s="10"/>
      <c r="G660" s="10"/>
      <c r="H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  <c r="AH660" s="10"/>
      <c r="AI660" s="10"/>
    </row>
    <row r="661" ht="15.75" customHeight="1">
      <c r="A661" s="10"/>
      <c r="B661" s="10"/>
      <c r="C661" s="10"/>
      <c r="D661" s="10"/>
      <c r="E661" s="10"/>
      <c r="F661" s="10"/>
      <c r="G661" s="10"/>
      <c r="H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  <c r="AH661" s="10"/>
      <c r="AI661" s="10"/>
    </row>
    <row r="662" ht="15.75" customHeight="1">
      <c r="A662" s="10"/>
      <c r="B662" s="10"/>
      <c r="C662" s="10"/>
      <c r="D662" s="10"/>
      <c r="E662" s="10"/>
      <c r="F662" s="10"/>
      <c r="G662" s="10"/>
      <c r="H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  <c r="AH662" s="10"/>
      <c r="AI662" s="10"/>
    </row>
    <row r="663" ht="15.75" customHeight="1">
      <c r="A663" s="10"/>
      <c r="B663" s="10"/>
      <c r="C663" s="10"/>
      <c r="D663" s="10"/>
      <c r="E663" s="10"/>
      <c r="F663" s="10"/>
      <c r="G663" s="10"/>
      <c r="H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  <c r="AH663" s="10"/>
      <c r="AI663" s="10"/>
    </row>
    <row r="664" ht="15.75" customHeight="1">
      <c r="A664" s="10"/>
      <c r="B664" s="10"/>
      <c r="C664" s="10"/>
      <c r="D664" s="10"/>
      <c r="E664" s="10"/>
      <c r="F664" s="10"/>
      <c r="G664" s="10"/>
      <c r="H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  <c r="AH664" s="10"/>
      <c r="AI664" s="10"/>
    </row>
    <row r="665" ht="15.75" customHeight="1">
      <c r="A665" s="10"/>
      <c r="B665" s="10"/>
      <c r="C665" s="10"/>
      <c r="D665" s="10"/>
      <c r="E665" s="10"/>
      <c r="F665" s="10"/>
      <c r="G665" s="10"/>
      <c r="H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  <c r="AH665" s="10"/>
      <c r="AI665" s="10"/>
    </row>
    <row r="666" ht="15.75" customHeight="1">
      <c r="A666" s="10"/>
      <c r="B666" s="10"/>
      <c r="C666" s="10"/>
      <c r="D666" s="10"/>
      <c r="E666" s="10"/>
      <c r="F666" s="10"/>
      <c r="G666" s="10"/>
      <c r="H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  <c r="AH666" s="10"/>
      <c r="AI666" s="10"/>
    </row>
    <row r="667" ht="15.75" customHeight="1">
      <c r="A667" s="10"/>
      <c r="B667" s="10"/>
      <c r="C667" s="10"/>
      <c r="D667" s="10"/>
      <c r="E667" s="10"/>
      <c r="F667" s="10"/>
      <c r="G667" s="10"/>
      <c r="H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  <c r="AH667" s="10"/>
      <c r="AI667" s="10"/>
    </row>
    <row r="668" ht="15.75" customHeight="1">
      <c r="A668" s="10"/>
      <c r="B668" s="10"/>
      <c r="C668" s="10"/>
      <c r="D668" s="10"/>
      <c r="E668" s="10"/>
      <c r="F668" s="10"/>
      <c r="G668" s="10"/>
      <c r="H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  <c r="AH668" s="10"/>
      <c r="AI668" s="10"/>
    </row>
    <row r="669" ht="15.75" customHeight="1">
      <c r="A669" s="10"/>
      <c r="B669" s="10"/>
      <c r="C669" s="10"/>
      <c r="D669" s="10"/>
      <c r="E669" s="10"/>
      <c r="F669" s="10"/>
      <c r="G669" s="10"/>
      <c r="H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  <c r="AH669" s="10"/>
      <c r="AI669" s="10"/>
    </row>
    <row r="670" ht="15.75" customHeight="1">
      <c r="A670" s="10"/>
      <c r="B670" s="10"/>
      <c r="C670" s="10"/>
      <c r="D670" s="10"/>
      <c r="E670" s="10"/>
      <c r="F670" s="10"/>
      <c r="G670" s="10"/>
      <c r="H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  <c r="AH670" s="10"/>
      <c r="AI670" s="10"/>
    </row>
    <row r="671" ht="15.75" customHeight="1">
      <c r="A671" s="10"/>
      <c r="B671" s="10"/>
      <c r="C671" s="10"/>
      <c r="D671" s="10"/>
      <c r="E671" s="10"/>
      <c r="F671" s="10"/>
      <c r="G671" s="10"/>
      <c r="H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  <c r="AH671" s="10"/>
      <c r="AI671" s="10"/>
    </row>
    <row r="672" ht="15.75" customHeight="1">
      <c r="A672" s="10"/>
      <c r="B672" s="10"/>
      <c r="C672" s="10"/>
      <c r="D672" s="10"/>
      <c r="E672" s="10"/>
      <c r="F672" s="10"/>
      <c r="G672" s="10"/>
      <c r="H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  <c r="AH672" s="10"/>
      <c r="AI672" s="10"/>
    </row>
    <row r="673" ht="15.75" customHeight="1">
      <c r="A673" s="10"/>
      <c r="B673" s="10"/>
      <c r="C673" s="10"/>
      <c r="D673" s="10"/>
      <c r="E673" s="10"/>
      <c r="F673" s="10"/>
      <c r="G673" s="10"/>
      <c r="H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  <c r="AH673" s="10"/>
      <c r="AI673" s="10"/>
    </row>
    <row r="674" ht="15.75" customHeight="1">
      <c r="A674" s="10"/>
      <c r="B674" s="10"/>
      <c r="C674" s="10"/>
      <c r="D674" s="10"/>
      <c r="E674" s="10"/>
      <c r="F674" s="10"/>
      <c r="G674" s="10"/>
      <c r="H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  <c r="AH674" s="10"/>
      <c r="AI674" s="10"/>
    </row>
    <row r="675" ht="15.75" customHeight="1">
      <c r="A675" s="10"/>
      <c r="B675" s="10"/>
      <c r="C675" s="10"/>
      <c r="D675" s="10"/>
      <c r="E675" s="10"/>
      <c r="F675" s="10"/>
      <c r="G675" s="10"/>
      <c r="H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  <c r="AH675" s="10"/>
      <c r="AI675" s="10"/>
    </row>
    <row r="676" ht="15.75" customHeight="1">
      <c r="A676" s="10"/>
      <c r="B676" s="10"/>
      <c r="C676" s="10"/>
      <c r="D676" s="10"/>
      <c r="E676" s="10"/>
      <c r="F676" s="10"/>
      <c r="G676" s="10"/>
      <c r="H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  <c r="AH676" s="10"/>
      <c r="AI676" s="10"/>
    </row>
    <row r="677" ht="15.75" customHeight="1">
      <c r="A677" s="10"/>
      <c r="B677" s="10"/>
      <c r="C677" s="10"/>
      <c r="D677" s="10"/>
      <c r="E677" s="10"/>
      <c r="F677" s="10"/>
      <c r="G677" s="10"/>
      <c r="H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  <c r="AH677" s="10"/>
      <c r="AI677" s="10"/>
    </row>
    <row r="678" ht="15.75" customHeight="1">
      <c r="A678" s="10"/>
      <c r="B678" s="10"/>
      <c r="C678" s="10"/>
      <c r="D678" s="10"/>
      <c r="E678" s="10"/>
      <c r="F678" s="10"/>
      <c r="G678" s="10"/>
      <c r="H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  <c r="AH678" s="10"/>
      <c r="AI678" s="10"/>
    </row>
    <row r="679" ht="15.75" customHeight="1">
      <c r="A679" s="10"/>
      <c r="B679" s="10"/>
      <c r="C679" s="10"/>
      <c r="D679" s="10"/>
      <c r="E679" s="10"/>
      <c r="F679" s="10"/>
      <c r="G679" s="10"/>
      <c r="H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  <c r="AH679" s="10"/>
      <c r="AI679" s="10"/>
    </row>
    <row r="680" ht="15.75" customHeight="1">
      <c r="A680" s="10"/>
      <c r="B680" s="10"/>
      <c r="C680" s="10"/>
      <c r="D680" s="10"/>
      <c r="E680" s="10"/>
      <c r="F680" s="10"/>
      <c r="G680" s="10"/>
      <c r="H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  <c r="AH680" s="10"/>
      <c r="AI680" s="10"/>
    </row>
    <row r="681" ht="15.75" customHeight="1">
      <c r="A681" s="10"/>
      <c r="B681" s="10"/>
      <c r="C681" s="10"/>
      <c r="D681" s="10"/>
      <c r="E681" s="10"/>
      <c r="F681" s="10"/>
      <c r="G681" s="10"/>
      <c r="H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  <c r="AH681" s="10"/>
      <c r="AI681" s="10"/>
    </row>
    <row r="682" ht="15.75" customHeight="1">
      <c r="A682" s="10"/>
      <c r="B682" s="10"/>
      <c r="C682" s="10"/>
      <c r="D682" s="10"/>
      <c r="E682" s="10"/>
      <c r="F682" s="10"/>
      <c r="G682" s="10"/>
      <c r="H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  <c r="AH682" s="10"/>
      <c r="AI682" s="10"/>
    </row>
    <row r="683" ht="15.75" customHeight="1">
      <c r="A683" s="10"/>
      <c r="B683" s="10"/>
      <c r="C683" s="10"/>
      <c r="D683" s="10"/>
      <c r="E683" s="10"/>
      <c r="F683" s="10"/>
      <c r="G683" s="10"/>
      <c r="H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  <c r="AH683" s="10"/>
      <c r="AI683" s="10"/>
    </row>
    <row r="684" ht="15.75" customHeight="1">
      <c r="A684" s="10"/>
      <c r="B684" s="10"/>
      <c r="C684" s="10"/>
      <c r="D684" s="10"/>
      <c r="E684" s="10"/>
      <c r="F684" s="10"/>
      <c r="G684" s="10"/>
      <c r="H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  <c r="AH684" s="10"/>
      <c r="AI684" s="10"/>
    </row>
    <row r="685" ht="15.75" customHeight="1">
      <c r="A685" s="10"/>
      <c r="B685" s="10"/>
      <c r="C685" s="10"/>
      <c r="D685" s="10"/>
      <c r="E685" s="10"/>
      <c r="F685" s="10"/>
      <c r="G685" s="10"/>
      <c r="H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  <c r="AH685" s="10"/>
      <c r="AI685" s="10"/>
    </row>
    <row r="686" ht="15.75" customHeight="1">
      <c r="A686" s="10"/>
      <c r="B686" s="10"/>
      <c r="C686" s="10"/>
      <c r="D686" s="10"/>
      <c r="E686" s="10"/>
      <c r="F686" s="10"/>
      <c r="G686" s="10"/>
      <c r="H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  <c r="AH686" s="10"/>
      <c r="AI686" s="10"/>
    </row>
    <row r="687" ht="15.75" customHeight="1">
      <c r="A687" s="10"/>
      <c r="B687" s="10"/>
      <c r="C687" s="10"/>
      <c r="D687" s="10"/>
      <c r="E687" s="10"/>
      <c r="F687" s="10"/>
      <c r="G687" s="10"/>
      <c r="H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  <c r="AH687" s="10"/>
      <c r="AI687" s="10"/>
    </row>
    <row r="688" ht="15.75" customHeight="1">
      <c r="A688" s="10"/>
      <c r="B688" s="10"/>
      <c r="C688" s="10"/>
      <c r="D688" s="10"/>
      <c r="E688" s="10"/>
      <c r="F688" s="10"/>
      <c r="G688" s="10"/>
      <c r="H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  <c r="AH688" s="10"/>
      <c r="AI688" s="10"/>
    </row>
    <row r="689" ht="15.75" customHeight="1">
      <c r="A689" s="10"/>
      <c r="B689" s="10"/>
      <c r="C689" s="10"/>
      <c r="D689" s="10"/>
      <c r="E689" s="10"/>
      <c r="F689" s="10"/>
      <c r="G689" s="10"/>
      <c r="H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  <c r="AH689" s="10"/>
      <c r="AI689" s="10"/>
    </row>
    <row r="690" ht="15.75" customHeight="1">
      <c r="A690" s="10"/>
      <c r="B690" s="10"/>
      <c r="C690" s="10"/>
      <c r="D690" s="10"/>
      <c r="E690" s="10"/>
      <c r="F690" s="10"/>
      <c r="G690" s="10"/>
      <c r="H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  <c r="AH690" s="10"/>
      <c r="AI690" s="10"/>
    </row>
    <row r="691" ht="15.75" customHeight="1">
      <c r="A691" s="10"/>
      <c r="B691" s="10"/>
      <c r="C691" s="10"/>
      <c r="D691" s="10"/>
      <c r="E691" s="10"/>
      <c r="F691" s="10"/>
      <c r="G691" s="10"/>
      <c r="H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  <c r="AH691" s="10"/>
      <c r="AI691" s="10"/>
    </row>
    <row r="692" ht="15.75" customHeight="1">
      <c r="A692" s="10"/>
      <c r="B692" s="10"/>
      <c r="C692" s="10"/>
      <c r="D692" s="10"/>
      <c r="E692" s="10"/>
      <c r="F692" s="10"/>
      <c r="G692" s="10"/>
      <c r="H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  <c r="AH692" s="10"/>
      <c r="AI692" s="10"/>
    </row>
    <row r="693" ht="15.75" customHeight="1">
      <c r="A693" s="10"/>
      <c r="B693" s="10"/>
      <c r="C693" s="10"/>
      <c r="D693" s="10"/>
      <c r="E693" s="10"/>
      <c r="F693" s="10"/>
      <c r="G693" s="10"/>
      <c r="H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  <c r="AH693" s="10"/>
      <c r="AI693" s="10"/>
    </row>
    <row r="694" ht="15.75" customHeight="1">
      <c r="A694" s="10"/>
      <c r="B694" s="10"/>
      <c r="C694" s="10"/>
      <c r="D694" s="10"/>
      <c r="E694" s="10"/>
      <c r="F694" s="10"/>
      <c r="G694" s="10"/>
      <c r="H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  <c r="AH694" s="10"/>
      <c r="AI694" s="10"/>
    </row>
    <row r="695" ht="15.75" customHeight="1">
      <c r="A695" s="10"/>
      <c r="B695" s="10"/>
      <c r="C695" s="10"/>
      <c r="D695" s="10"/>
      <c r="E695" s="10"/>
      <c r="F695" s="10"/>
      <c r="G695" s="10"/>
      <c r="H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  <c r="AH695" s="10"/>
      <c r="AI695" s="10"/>
    </row>
    <row r="696" ht="15.75" customHeight="1">
      <c r="A696" s="10"/>
      <c r="B696" s="10"/>
      <c r="C696" s="10"/>
      <c r="D696" s="10"/>
      <c r="E696" s="10"/>
      <c r="F696" s="10"/>
      <c r="G696" s="10"/>
      <c r="H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  <c r="AH696" s="10"/>
      <c r="AI696" s="10"/>
    </row>
    <row r="697" ht="15.75" customHeight="1">
      <c r="A697" s="10"/>
      <c r="B697" s="10"/>
      <c r="C697" s="10"/>
      <c r="D697" s="10"/>
      <c r="E697" s="10"/>
      <c r="F697" s="10"/>
      <c r="G697" s="10"/>
      <c r="H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  <c r="AH697" s="10"/>
      <c r="AI697" s="10"/>
    </row>
    <row r="698" ht="15.75" customHeight="1">
      <c r="A698" s="10"/>
      <c r="B698" s="10"/>
      <c r="C698" s="10"/>
      <c r="D698" s="10"/>
      <c r="E698" s="10"/>
      <c r="F698" s="10"/>
      <c r="G698" s="10"/>
      <c r="H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  <c r="AH698" s="10"/>
      <c r="AI698" s="10"/>
    </row>
    <row r="699" ht="15.75" customHeight="1">
      <c r="A699" s="10"/>
      <c r="B699" s="10"/>
      <c r="C699" s="10"/>
      <c r="D699" s="10"/>
      <c r="E699" s="10"/>
      <c r="F699" s="10"/>
      <c r="G699" s="10"/>
      <c r="H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  <c r="AH699" s="10"/>
      <c r="AI699" s="10"/>
    </row>
    <row r="700" ht="15.75" customHeight="1">
      <c r="A700" s="10"/>
      <c r="B700" s="10"/>
      <c r="C700" s="10"/>
      <c r="D700" s="10"/>
      <c r="E700" s="10"/>
      <c r="F700" s="10"/>
      <c r="G700" s="10"/>
      <c r="H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  <c r="AH700" s="10"/>
      <c r="AI700" s="10"/>
    </row>
    <row r="701" ht="15.75" customHeight="1">
      <c r="A701" s="10"/>
      <c r="B701" s="10"/>
      <c r="C701" s="10"/>
      <c r="D701" s="10"/>
      <c r="E701" s="10"/>
      <c r="F701" s="10"/>
      <c r="G701" s="10"/>
      <c r="H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  <c r="AH701" s="10"/>
      <c r="AI701" s="10"/>
    </row>
    <row r="702" ht="15.75" customHeight="1">
      <c r="A702" s="10"/>
      <c r="B702" s="10"/>
      <c r="C702" s="10"/>
      <c r="D702" s="10"/>
      <c r="E702" s="10"/>
      <c r="F702" s="10"/>
      <c r="G702" s="10"/>
      <c r="H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  <c r="AH702" s="10"/>
      <c r="AI702" s="10"/>
    </row>
    <row r="703" ht="15.75" customHeight="1">
      <c r="A703" s="10"/>
      <c r="B703" s="10"/>
      <c r="C703" s="10"/>
      <c r="D703" s="10"/>
      <c r="E703" s="10"/>
      <c r="F703" s="10"/>
      <c r="G703" s="10"/>
      <c r="H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  <c r="AH703" s="10"/>
      <c r="AI703" s="10"/>
    </row>
    <row r="704" ht="15.75" customHeight="1">
      <c r="A704" s="10"/>
      <c r="B704" s="10"/>
      <c r="C704" s="10"/>
      <c r="D704" s="10"/>
      <c r="E704" s="10"/>
      <c r="F704" s="10"/>
      <c r="G704" s="10"/>
      <c r="H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  <c r="AH704" s="10"/>
      <c r="AI704" s="10"/>
    </row>
    <row r="705" ht="15.75" customHeight="1">
      <c r="A705" s="10"/>
      <c r="B705" s="10"/>
      <c r="C705" s="10"/>
      <c r="D705" s="10"/>
      <c r="E705" s="10"/>
      <c r="F705" s="10"/>
      <c r="G705" s="10"/>
      <c r="H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  <c r="AH705" s="10"/>
      <c r="AI705" s="10"/>
    </row>
    <row r="706" ht="15.75" customHeight="1">
      <c r="A706" s="10"/>
      <c r="B706" s="10"/>
      <c r="C706" s="10"/>
      <c r="D706" s="10"/>
      <c r="E706" s="10"/>
      <c r="F706" s="10"/>
      <c r="G706" s="10"/>
      <c r="H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  <c r="AH706" s="10"/>
      <c r="AI706" s="10"/>
    </row>
    <row r="707" ht="15.75" customHeight="1">
      <c r="A707" s="10"/>
      <c r="B707" s="10"/>
      <c r="C707" s="10"/>
      <c r="D707" s="10"/>
      <c r="E707" s="10"/>
      <c r="F707" s="10"/>
      <c r="G707" s="10"/>
      <c r="H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  <c r="AH707" s="10"/>
      <c r="AI707" s="10"/>
    </row>
    <row r="708" ht="15.75" customHeight="1">
      <c r="A708" s="10"/>
      <c r="B708" s="10"/>
      <c r="C708" s="10"/>
      <c r="D708" s="10"/>
      <c r="E708" s="10"/>
      <c r="F708" s="10"/>
      <c r="G708" s="10"/>
      <c r="H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  <c r="AH708" s="10"/>
      <c r="AI708" s="10"/>
    </row>
    <row r="709" ht="15.75" customHeight="1">
      <c r="A709" s="10"/>
      <c r="B709" s="10"/>
      <c r="C709" s="10"/>
      <c r="D709" s="10"/>
      <c r="E709" s="10"/>
      <c r="F709" s="10"/>
      <c r="G709" s="10"/>
      <c r="H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  <c r="AH709" s="10"/>
      <c r="AI709" s="10"/>
    </row>
    <row r="710" ht="15.75" customHeight="1">
      <c r="A710" s="10"/>
      <c r="B710" s="10"/>
      <c r="C710" s="10"/>
      <c r="D710" s="10"/>
      <c r="E710" s="10"/>
      <c r="F710" s="10"/>
      <c r="G710" s="10"/>
      <c r="H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  <c r="AH710" s="10"/>
      <c r="AI710" s="10"/>
    </row>
    <row r="711" ht="15.75" customHeight="1">
      <c r="A711" s="10"/>
      <c r="B711" s="10"/>
      <c r="C711" s="10"/>
      <c r="D711" s="10"/>
      <c r="E711" s="10"/>
      <c r="F711" s="10"/>
      <c r="G711" s="10"/>
      <c r="H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  <c r="AH711" s="10"/>
      <c r="AI711" s="10"/>
    </row>
    <row r="712" ht="15.75" customHeight="1">
      <c r="A712" s="10"/>
      <c r="B712" s="10"/>
      <c r="C712" s="10"/>
      <c r="D712" s="10"/>
      <c r="E712" s="10"/>
      <c r="F712" s="10"/>
      <c r="G712" s="10"/>
      <c r="H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  <c r="AH712" s="10"/>
      <c r="AI712" s="10"/>
    </row>
    <row r="713" ht="15.75" customHeight="1">
      <c r="A713" s="10"/>
      <c r="B713" s="10"/>
      <c r="C713" s="10"/>
      <c r="D713" s="10"/>
      <c r="E713" s="10"/>
      <c r="F713" s="10"/>
      <c r="G713" s="10"/>
      <c r="H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  <c r="AH713" s="10"/>
      <c r="AI713" s="10"/>
    </row>
    <row r="714" ht="15.75" customHeight="1">
      <c r="A714" s="10"/>
      <c r="B714" s="10"/>
      <c r="C714" s="10"/>
      <c r="D714" s="10"/>
      <c r="E714" s="10"/>
      <c r="F714" s="10"/>
      <c r="G714" s="10"/>
      <c r="H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  <c r="AH714" s="10"/>
      <c r="AI714" s="10"/>
    </row>
    <row r="715" ht="15.75" customHeight="1">
      <c r="A715" s="10"/>
      <c r="B715" s="10"/>
      <c r="C715" s="10"/>
      <c r="D715" s="10"/>
      <c r="E715" s="10"/>
      <c r="F715" s="10"/>
      <c r="G715" s="10"/>
      <c r="H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  <c r="AH715" s="10"/>
      <c r="AI715" s="10"/>
    </row>
    <row r="716" ht="15.75" customHeight="1">
      <c r="A716" s="10"/>
      <c r="B716" s="10"/>
      <c r="C716" s="10"/>
      <c r="D716" s="10"/>
      <c r="E716" s="10"/>
      <c r="F716" s="10"/>
      <c r="G716" s="10"/>
      <c r="H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  <c r="AH716" s="10"/>
      <c r="AI716" s="10"/>
    </row>
    <row r="717" ht="15.75" customHeight="1">
      <c r="A717" s="10"/>
      <c r="B717" s="10"/>
      <c r="C717" s="10"/>
      <c r="D717" s="10"/>
      <c r="E717" s="10"/>
      <c r="F717" s="10"/>
      <c r="G717" s="10"/>
      <c r="H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  <c r="AH717" s="10"/>
      <c r="AI717" s="10"/>
    </row>
    <row r="718" ht="15.75" customHeight="1">
      <c r="A718" s="10"/>
      <c r="B718" s="10"/>
      <c r="C718" s="10"/>
      <c r="D718" s="10"/>
      <c r="E718" s="10"/>
      <c r="F718" s="10"/>
      <c r="G718" s="10"/>
      <c r="H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  <c r="AH718" s="10"/>
      <c r="AI718" s="10"/>
    </row>
    <row r="719" ht="15.75" customHeight="1">
      <c r="A719" s="10"/>
      <c r="B719" s="10"/>
      <c r="C719" s="10"/>
      <c r="D719" s="10"/>
      <c r="E719" s="10"/>
      <c r="F719" s="10"/>
      <c r="G719" s="10"/>
      <c r="H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  <c r="AH719" s="10"/>
      <c r="AI719" s="10"/>
    </row>
    <row r="720" ht="15.75" customHeight="1">
      <c r="A720" s="10"/>
      <c r="B720" s="10"/>
      <c r="C720" s="10"/>
      <c r="D720" s="10"/>
      <c r="E720" s="10"/>
      <c r="F720" s="10"/>
      <c r="G720" s="10"/>
      <c r="H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  <c r="AH720" s="10"/>
      <c r="AI720" s="10"/>
    </row>
    <row r="721" ht="15.75" customHeight="1">
      <c r="A721" s="10"/>
      <c r="B721" s="10"/>
      <c r="C721" s="10"/>
      <c r="D721" s="10"/>
      <c r="E721" s="10"/>
      <c r="F721" s="10"/>
      <c r="G721" s="10"/>
      <c r="H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  <c r="AH721" s="10"/>
      <c r="AI721" s="10"/>
    </row>
    <row r="722" ht="15.75" customHeight="1">
      <c r="A722" s="10"/>
      <c r="B722" s="10"/>
      <c r="C722" s="10"/>
      <c r="D722" s="10"/>
      <c r="E722" s="10"/>
      <c r="F722" s="10"/>
      <c r="G722" s="10"/>
      <c r="H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  <c r="AH722" s="10"/>
      <c r="AI722" s="10"/>
    </row>
    <row r="723" ht="15.75" customHeight="1">
      <c r="A723" s="10"/>
      <c r="B723" s="10"/>
      <c r="C723" s="10"/>
      <c r="D723" s="10"/>
      <c r="E723" s="10"/>
      <c r="F723" s="10"/>
      <c r="G723" s="10"/>
      <c r="H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  <c r="AH723" s="10"/>
      <c r="AI723" s="10"/>
    </row>
    <row r="724" ht="15.75" customHeight="1">
      <c r="A724" s="10"/>
      <c r="B724" s="10"/>
      <c r="C724" s="10"/>
      <c r="D724" s="10"/>
      <c r="E724" s="10"/>
      <c r="F724" s="10"/>
      <c r="G724" s="10"/>
      <c r="H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  <c r="AH724" s="10"/>
      <c r="AI724" s="10"/>
    </row>
    <row r="725" ht="15.75" customHeight="1">
      <c r="A725" s="10"/>
      <c r="B725" s="10"/>
      <c r="C725" s="10"/>
      <c r="D725" s="10"/>
      <c r="E725" s="10"/>
      <c r="F725" s="10"/>
      <c r="G725" s="10"/>
      <c r="H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  <c r="AH725" s="10"/>
      <c r="AI725" s="10"/>
    </row>
    <row r="726" ht="15.75" customHeight="1">
      <c r="A726" s="10"/>
      <c r="B726" s="10"/>
      <c r="C726" s="10"/>
      <c r="D726" s="10"/>
      <c r="E726" s="10"/>
      <c r="F726" s="10"/>
      <c r="G726" s="10"/>
      <c r="H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  <c r="AH726" s="10"/>
      <c r="AI726" s="10"/>
    </row>
    <row r="727" ht="15.75" customHeight="1">
      <c r="A727" s="10"/>
      <c r="B727" s="10"/>
      <c r="C727" s="10"/>
      <c r="D727" s="10"/>
      <c r="E727" s="10"/>
      <c r="F727" s="10"/>
      <c r="G727" s="10"/>
      <c r="H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  <c r="AH727" s="10"/>
      <c r="AI727" s="10"/>
    </row>
    <row r="728" ht="15.75" customHeight="1">
      <c r="A728" s="10"/>
      <c r="B728" s="10"/>
      <c r="C728" s="10"/>
      <c r="D728" s="10"/>
      <c r="E728" s="10"/>
      <c r="F728" s="10"/>
      <c r="G728" s="10"/>
      <c r="H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  <c r="AH728" s="10"/>
      <c r="AI728" s="10"/>
    </row>
    <row r="729" ht="15.75" customHeight="1">
      <c r="A729" s="10"/>
      <c r="B729" s="10"/>
      <c r="C729" s="10"/>
      <c r="D729" s="10"/>
      <c r="E729" s="10"/>
      <c r="F729" s="10"/>
      <c r="G729" s="10"/>
      <c r="H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  <c r="AH729" s="10"/>
      <c r="AI729" s="10"/>
    </row>
    <row r="730" ht="15.75" customHeight="1">
      <c r="A730" s="10"/>
      <c r="B730" s="10"/>
      <c r="C730" s="10"/>
      <c r="D730" s="10"/>
      <c r="E730" s="10"/>
      <c r="F730" s="10"/>
      <c r="G730" s="10"/>
      <c r="H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  <c r="AH730" s="10"/>
      <c r="AI730" s="10"/>
    </row>
    <row r="731" ht="15.75" customHeight="1">
      <c r="A731" s="10"/>
      <c r="B731" s="10"/>
      <c r="C731" s="10"/>
      <c r="D731" s="10"/>
      <c r="E731" s="10"/>
      <c r="F731" s="10"/>
      <c r="G731" s="10"/>
      <c r="H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  <c r="AH731" s="10"/>
      <c r="AI731" s="10"/>
    </row>
    <row r="732" ht="15.75" customHeight="1">
      <c r="A732" s="10"/>
      <c r="B732" s="10"/>
      <c r="C732" s="10"/>
      <c r="D732" s="10"/>
      <c r="E732" s="10"/>
      <c r="F732" s="10"/>
      <c r="G732" s="10"/>
      <c r="H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  <c r="AH732" s="10"/>
      <c r="AI732" s="10"/>
    </row>
    <row r="733" ht="15.75" customHeight="1">
      <c r="A733" s="10"/>
      <c r="B733" s="10"/>
      <c r="C733" s="10"/>
      <c r="D733" s="10"/>
      <c r="E733" s="10"/>
      <c r="F733" s="10"/>
      <c r="G733" s="10"/>
      <c r="H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  <c r="AH733" s="10"/>
      <c r="AI733" s="10"/>
    </row>
    <row r="734" ht="15.75" customHeight="1">
      <c r="A734" s="10"/>
      <c r="B734" s="10"/>
      <c r="C734" s="10"/>
      <c r="D734" s="10"/>
      <c r="E734" s="10"/>
      <c r="F734" s="10"/>
      <c r="G734" s="10"/>
      <c r="H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  <c r="AH734" s="10"/>
      <c r="AI734" s="10"/>
    </row>
    <row r="735" ht="15.75" customHeight="1">
      <c r="A735" s="10"/>
      <c r="B735" s="10"/>
      <c r="C735" s="10"/>
      <c r="D735" s="10"/>
      <c r="E735" s="10"/>
      <c r="F735" s="10"/>
      <c r="G735" s="10"/>
      <c r="H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  <c r="AH735" s="10"/>
      <c r="AI735" s="10"/>
    </row>
    <row r="736" ht="15.75" customHeight="1">
      <c r="A736" s="10"/>
      <c r="B736" s="10"/>
      <c r="C736" s="10"/>
      <c r="D736" s="10"/>
      <c r="E736" s="10"/>
      <c r="F736" s="10"/>
      <c r="G736" s="10"/>
      <c r="H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  <c r="AH736" s="10"/>
      <c r="AI736" s="10"/>
    </row>
    <row r="737" ht="15.75" customHeight="1">
      <c r="A737" s="10"/>
      <c r="B737" s="10"/>
      <c r="C737" s="10"/>
      <c r="D737" s="10"/>
      <c r="E737" s="10"/>
      <c r="F737" s="10"/>
      <c r="G737" s="10"/>
      <c r="H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  <c r="AH737" s="10"/>
      <c r="AI737" s="10"/>
    </row>
    <row r="738" ht="15.75" customHeight="1">
      <c r="A738" s="10"/>
      <c r="B738" s="10"/>
      <c r="C738" s="10"/>
      <c r="D738" s="10"/>
      <c r="E738" s="10"/>
      <c r="F738" s="10"/>
      <c r="G738" s="10"/>
      <c r="H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  <c r="AH738" s="10"/>
      <c r="AI738" s="10"/>
    </row>
    <row r="739" ht="15.75" customHeight="1">
      <c r="A739" s="10"/>
      <c r="B739" s="10"/>
      <c r="C739" s="10"/>
      <c r="D739" s="10"/>
      <c r="E739" s="10"/>
      <c r="F739" s="10"/>
      <c r="G739" s="10"/>
      <c r="H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  <c r="AH739" s="10"/>
      <c r="AI739" s="10"/>
    </row>
    <row r="740" ht="15.75" customHeight="1">
      <c r="A740" s="10"/>
      <c r="B740" s="10"/>
      <c r="C740" s="10"/>
      <c r="D740" s="10"/>
      <c r="E740" s="10"/>
      <c r="F740" s="10"/>
      <c r="G740" s="10"/>
      <c r="H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  <c r="AH740" s="10"/>
      <c r="AI740" s="10"/>
    </row>
    <row r="741" ht="15.75" customHeight="1">
      <c r="A741" s="10"/>
      <c r="B741" s="10"/>
      <c r="C741" s="10"/>
      <c r="D741" s="10"/>
      <c r="E741" s="10"/>
      <c r="F741" s="10"/>
      <c r="G741" s="10"/>
      <c r="H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  <c r="AH741" s="10"/>
      <c r="AI741" s="10"/>
    </row>
    <row r="742" ht="15.75" customHeight="1">
      <c r="A742" s="10"/>
      <c r="B742" s="10"/>
      <c r="C742" s="10"/>
      <c r="D742" s="10"/>
      <c r="E742" s="10"/>
      <c r="F742" s="10"/>
      <c r="G742" s="10"/>
      <c r="H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  <c r="AH742" s="10"/>
      <c r="AI742" s="10"/>
    </row>
    <row r="743" ht="15.75" customHeight="1">
      <c r="A743" s="10"/>
      <c r="B743" s="10"/>
      <c r="C743" s="10"/>
      <c r="D743" s="10"/>
      <c r="E743" s="10"/>
      <c r="F743" s="10"/>
      <c r="G743" s="10"/>
      <c r="H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  <c r="AH743" s="10"/>
      <c r="AI743" s="10"/>
    </row>
    <row r="744" ht="15.75" customHeight="1">
      <c r="A744" s="10"/>
      <c r="B744" s="10"/>
      <c r="C744" s="10"/>
      <c r="D744" s="10"/>
      <c r="E744" s="10"/>
      <c r="F744" s="10"/>
      <c r="G744" s="10"/>
      <c r="H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  <c r="AH744" s="10"/>
      <c r="AI744" s="10"/>
    </row>
    <row r="745" ht="15.75" customHeight="1">
      <c r="A745" s="10"/>
      <c r="B745" s="10"/>
      <c r="C745" s="10"/>
      <c r="D745" s="10"/>
      <c r="E745" s="10"/>
      <c r="F745" s="10"/>
      <c r="G745" s="10"/>
      <c r="H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  <c r="AH745" s="10"/>
      <c r="AI745" s="10"/>
    </row>
    <row r="746" ht="15.75" customHeight="1">
      <c r="A746" s="10"/>
      <c r="B746" s="10"/>
      <c r="C746" s="10"/>
      <c r="D746" s="10"/>
      <c r="E746" s="10"/>
      <c r="F746" s="10"/>
      <c r="G746" s="10"/>
      <c r="H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  <c r="AH746" s="10"/>
      <c r="AI746" s="10"/>
    </row>
    <row r="747" ht="15.75" customHeight="1">
      <c r="A747" s="10"/>
      <c r="B747" s="10"/>
      <c r="C747" s="10"/>
      <c r="D747" s="10"/>
      <c r="E747" s="10"/>
      <c r="F747" s="10"/>
      <c r="G747" s="10"/>
      <c r="H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  <c r="AH747" s="10"/>
      <c r="AI747" s="10"/>
    </row>
    <row r="748" ht="15.75" customHeight="1">
      <c r="A748" s="10"/>
      <c r="B748" s="10"/>
      <c r="C748" s="10"/>
      <c r="D748" s="10"/>
      <c r="E748" s="10"/>
      <c r="F748" s="10"/>
      <c r="G748" s="10"/>
      <c r="H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  <c r="AH748" s="10"/>
      <c r="AI748" s="10"/>
    </row>
    <row r="749" ht="15.75" customHeight="1">
      <c r="A749" s="10"/>
      <c r="B749" s="10"/>
      <c r="C749" s="10"/>
      <c r="D749" s="10"/>
      <c r="E749" s="10"/>
      <c r="F749" s="10"/>
      <c r="G749" s="10"/>
      <c r="H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  <c r="AH749" s="10"/>
      <c r="AI749" s="10"/>
    </row>
    <row r="750" ht="15.75" customHeight="1">
      <c r="A750" s="10"/>
      <c r="B750" s="10"/>
      <c r="C750" s="10"/>
      <c r="D750" s="10"/>
      <c r="E750" s="10"/>
      <c r="F750" s="10"/>
      <c r="G750" s="10"/>
      <c r="H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  <c r="AH750" s="10"/>
      <c r="AI750" s="10"/>
    </row>
    <row r="751" ht="15.75" customHeight="1">
      <c r="A751" s="10"/>
      <c r="B751" s="10"/>
      <c r="C751" s="10"/>
      <c r="D751" s="10"/>
      <c r="E751" s="10"/>
      <c r="F751" s="10"/>
      <c r="G751" s="10"/>
      <c r="H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  <c r="AH751" s="10"/>
      <c r="AI751" s="10"/>
    </row>
    <row r="752" ht="15.75" customHeight="1">
      <c r="A752" s="10"/>
      <c r="B752" s="10"/>
      <c r="C752" s="10"/>
      <c r="D752" s="10"/>
      <c r="E752" s="10"/>
      <c r="F752" s="10"/>
      <c r="G752" s="10"/>
      <c r="H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  <c r="AH752" s="10"/>
      <c r="AI752" s="10"/>
    </row>
    <row r="753" ht="15.75" customHeight="1">
      <c r="A753" s="10"/>
      <c r="B753" s="10"/>
      <c r="C753" s="10"/>
      <c r="D753" s="10"/>
      <c r="E753" s="10"/>
      <c r="F753" s="10"/>
      <c r="G753" s="10"/>
      <c r="H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  <c r="AH753" s="10"/>
      <c r="AI753" s="10"/>
    </row>
    <row r="754" ht="15.75" customHeight="1">
      <c r="A754" s="10"/>
      <c r="B754" s="10"/>
      <c r="C754" s="10"/>
      <c r="D754" s="10"/>
      <c r="E754" s="10"/>
      <c r="F754" s="10"/>
      <c r="G754" s="10"/>
      <c r="H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  <c r="AH754" s="10"/>
      <c r="AI754" s="10"/>
    </row>
    <row r="755" ht="15.75" customHeight="1">
      <c r="A755" s="10"/>
      <c r="B755" s="10"/>
      <c r="C755" s="10"/>
      <c r="D755" s="10"/>
      <c r="E755" s="10"/>
      <c r="F755" s="10"/>
      <c r="G755" s="10"/>
      <c r="H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  <c r="AH755" s="10"/>
      <c r="AI755" s="10"/>
    </row>
    <row r="756" ht="15.75" customHeight="1">
      <c r="A756" s="10"/>
      <c r="B756" s="10"/>
      <c r="C756" s="10"/>
      <c r="D756" s="10"/>
      <c r="E756" s="10"/>
      <c r="F756" s="10"/>
      <c r="G756" s="10"/>
      <c r="H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  <c r="AH756" s="10"/>
      <c r="AI756" s="10"/>
    </row>
    <row r="757" ht="15.75" customHeight="1">
      <c r="A757" s="10"/>
      <c r="B757" s="10"/>
      <c r="C757" s="10"/>
      <c r="D757" s="10"/>
      <c r="E757" s="10"/>
      <c r="F757" s="10"/>
      <c r="G757" s="10"/>
      <c r="H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  <c r="AH757" s="10"/>
      <c r="AI757" s="10"/>
    </row>
    <row r="758" ht="15.75" customHeight="1">
      <c r="A758" s="10"/>
      <c r="B758" s="10"/>
      <c r="C758" s="10"/>
      <c r="D758" s="10"/>
      <c r="E758" s="10"/>
      <c r="F758" s="10"/>
      <c r="G758" s="10"/>
      <c r="H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  <c r="AH758" s="10"/>
      <c r="AI758" s="10"/>
    </row>
    <row r="759" ht="15.75" customHeight="1">
      <c r="A759" s="10"/>
      <c r="B759" s="10"/>
      <c r="C759" s="10"/>
      <c r="D759" s="10"/>
      <c r="E759" s="10"/>
      <c r="F759" s="10"/>
      <c r="G759" s="10"/>
      <c r="H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  <c r="AH759" s="10"/>
      <c r="AI759" s="10"/>
    </row>
    <row r="760" ht="15.75" customHeight="1">
      <c r="A760" s="10"/>
      <c r="B760" s="10"/>
      <c r="C760" s="10"/>
      <c r="D760" s="10"/>
      <c r="E760" s="10"/>
      <c r="F760" s="10"/>
      <c r="G760" s="10"/>
      <c r="H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  <c r="AH760" s="10"/>
      <c r="AI760" s="10"/>
    </row>
    <row r="761" ht="15.75" customHeight="1">
      <c r="A761" s="10"/>
      <c r="B761" s="10"/>
      <c r="C761" s="10"/>
      <c r="D761" s="10"/>
      <c r="E761" s="10"/>
      <c r="F761" s="10"/>
      <c r="G761" s="10"/>
      <c r="H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  <c r="AH761" s="10"/>
      <c r="AI761" s="10"/>
    </row>
    <row r="762" ht="15.75" customHeight="1">
      <c r="A762" s="10"/>
      <c r="B762" s="10"/>
      <c r="C762" s="10"/>
      <c r="D762" s="10"/>
      <c r="E762" s="10"/>
      <c r="F762" s="10"/>
      <c r="G762" s="10"/>
      <c r="H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  <c r="AH762" s="10"/>
      <c r="AI762" s="10"/>
    </row>
    <row r="763" ht="15.75" customHeight="1">
      <c r="A763" s="10"/>
      <c r="B763" s="10"/>
      <c r="C763" s="10"/>
      <c r="D763" s="10"/>
      <c r="E763" s="10"/>
      <c r="F763" s="10"/>
      <c r="G763" s="10"/>
      <c r="H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  <c r="AH763" s="10"/>
      <c r="AI763" s="10"/>
    </row>
    <row r="764" ht="15.75" customHeight="1">
      <c r="A764" s="10"/>
      <c r="B764" s="10"/>
      <c r="C764" s="10"/>
      <c r="D764" s="10"/>
      <c r="E764" s="10"/>
      <c r="F764" s="10"/>
      <c r="G764" s="10"/>
      <c r="H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  <c r="AH764" s="10"/>
      <c r="AI764" s="10"/>
    </row>
    <row r="765" ht="15.75" customHeight="1">
      <c r="A765" s="10"/>
      <c r="B765" s="10"/>
      <c r="C765" s="10"/>
      <c r="D765" s="10"/>
      <c r="E765" s="10"/>
      <c r="F765" s="10"/>
      <c r="G765" s="10"/>
      <c r="H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  <c r="AH765" s="10"/>
      <c r="AI765" s="10"/>
    </row>
    <row r="766" ht="15.75" customHeight="1">
      <c r="A766" s="10"/>
      <c r="B766" s="10"/>
      <c r="C766" s="10"/>
      <c r="D766" s="10"/>
      <c r="E766" s="10"/>
      <c r="F766" s="10"/>
      <c r="G766" s="10"/>
      <c r="H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  <c r="AH766" s="10"/>
      <c r="AI766" s="10"/>
    </row>
    <row r="767" ht="15.75" customHeight="1">
      <c r="A767" s="10"/>
      <c r="B767" s="10"/>
      <c r="C767" s="10"/>
      <c r="D767" s="10"/>
      <c r="E767" s="10"/>
      <c r="F767" s="10"/>
      <c r="G767" s="10"/>
      <c r="H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  <c r="AH767" s="10"/>
      <c r="AI767" s="10"/>
    </row>
    <row r="768" ht="15.75" customHeight="1">
      <c r="A768" s="10"/>
      <c r="B768" s="10"/>
      <c r="C768" s="10"/>
      <c r="D768" s="10"/>
      <c r="E768" s="10"/>
      <c r="F768" s="10"/>
      <c r="G768" s="10"/>
      <c r="H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  <c r="AH768" s="10"/>
      <c r="AI768" s="10"/>
    </row>
    <row r="769" ht="15.75" customHeight="1">
      <c r="A769" s="10"/>
      <c r="B769" s="10"/>
      <c r="C769" s="10"/>
      <c r="D769" s="10"/>
      <c r="E769" s="10"/>
      <c r="F769" s="10"/>
      <c r="G769" s="10"/>
      <c r="H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  <c r="AH769" s="10"/>
      <c r="AI769" s="10"/>
    </row>
    <row r="770" ht="15.75" customHeight="1">
      <c r="A770" s="10"/>
      <c r="B770" s="10"/>
      <c r="C770" s="10"/>
      <c r="D770" s="10"/>
      <c r="E770" s="10"/>
      <c r="F770" s="10"/>
      <c r="G770" s="10"/>
      <c r="H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  <c r="AH770" s="10"/>
      <c r="AI770" s="10"/>
    </row>
    <row r="771" ht="15.75" customHeight="1">
      <c r="A771" s="10"/>
      <c r="B771" s="10"/>
      <c r="C771" s="10"/>
      <c r="D771" s="10"/>
      <c r="E771" s="10"/>
      <c r="F771" s="10"/>
      <c r="G771" s="10"/>
      <c r="H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  <c r="AH771" s="10"/>
      <c r="AI771" s="10"/>
    </row>
    <row r="772" ht="15.75" customHeight="1">
      <c r="A772" s="10"/>
      <c r="B772" s="10"/>
      <c r="C772" s="10"/>
      <c r="D772" s="10"/>
      <c r="E772" s="10"/>
      <c r="F772" s="10"/>
      <c r="G772" s="10"/>
      <c r="H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  <c r="AH772" s="10"/>
      <c r="AI772" s="10"/>
    </row>
    <row r="773" ht="15.75" customHeight="1">
      <c r="A773" s="10"/>
      <c r="B773" s="10"/>
      <c r="C773" s="10"/>
      <c r="D773" s="10"/>
      <c r="E773" s="10"/>
      <c r="F773" s="10"/>
      <c r="G773" s="10"/>
      <c r="H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  <c r="AH773" s="10"/>
      <c r="AI773" s="10"/>
    </row>
    <row r="774" ht="15.75" customHeight="1">
      <c r="A774" s="10"/>
      <c r="B774" s="10"/>
      <c r="C774" s="10"/>
      <c r="D774" s="10"/>
      <c r="E774" s="10"/>
      <c r="F774" s="10"/>
      <c r="G774" s="10"/>
      <c r="H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  <c r="AH774" s="10"/>
      <c r="AI774" s="10"/>
    </row>
    <row r="775" ht="15.75" customHeight="1">
      <c r="A775" s="10"/>
      <c r="B775" s="10"/>
      <c r="C775" s="10"/>
      <c r="D775" s="10"/>
      <c r="E775" s="10"/>
      <c r="F775" s="10"/>
      <c r="G775" s="10"/>
      <c r="H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  <c r="AH775" s="10"/>
      <c r="AI775" s="10"/>
    </row>
    <row r="776" ht="15.75" customHeight="1">
      <c r="A776" s="10"/>
      <c r="B776" s="10"/>
      <c r="C776" s="10"/>
      <c r="D776" s="10"/>
      <c r="E776" s="10"/>
      <c r="F776" s="10"/>
      <c r="G776" s="10"/>
      <c r="H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  <c r="AH776" s="10"/>
      <c r="AI776" s="10"/>
    </row>
    <row r="777" ht="15.75" customHeight="1">
      <c r="A777" s="10"/>
      <c r="B777" s="10"/>
      <c r="C777" s="10"/>
      <c r="D777" s="10"/>
      <c r="E777" s="10"/>
      <c r="F777" s="10"/>
      <c r="G777" s="10"/>
      <c r="H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  <c r="AH777" s="10"/>
      <c r="AI777" s="10"/>
    </row>
    <row r="778" ht="15.75" customHeight="1">
      <c r="A778" s="10"/>
      <c r="B778" s="10"/>
      <c r="C778" s="10"/>
      <c r="D778" s="10"/>
      <c r="E778" s="10"/>
      <c r="F778" s="10"/>
      <c r="G778" s="10"/>
      <c r="H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  <c r="AH778" s="10"/>
      <c r="AI778" s="10"/>
    </row>
    <row r="779" ht="15.75" customHeight="1">
      <c r="A779" s="10"/>
      <c r="B779" s="10"/>
      <c r="C779" s="10"/>
      <c r="D779" s="10"/>
      <c r="E779" s="10"/>
      <c r="F779" s="10"/>
      <c r="G779" s="10"/>
      <c r="H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  <c r="AH779" s="10"/>
      <c r="AI779" s="10"/>
    </row>
    <row r="780" ht="15.75" customHeight="1">
      <c r="A780" s="10"/>
      <c r="B780" s="10"/>
      <c r="C780" s="10"/>
      <c r="D780" s="10"/>
      <c r="E780" s="10"/>
      <c r="F780" s="10"/>
      <c r="G780" s="10"/>
      <c r="H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  <c r="AH780" s="10"/>
      <c r="AI780" s="10"/>
    </row>
    <row r="781" ht="15.75" customHeight="1">
      <c r="A781" s="10"/>
      <c r="B781" s="10"/>
      <c r="C781" s="10"/>
      <c r="D781" s="10"/>
      <c r="E781" s="10"/>
      <c r="F781" s="10"/>
      <c r="G781" s="10"/>
      <c r="H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  <c r="AH781" s="10"/>
      <c r="AI781" s="10"/>
    </row>
    <row r="782" ht="15.75" customHeight="1">
      <c r="A782" s="10"/>
      <c r="B782" s="10"/>
      <c r="C782" s="10"/>
      <c r="D782" s="10"/>
      <c r="E782" s="10"/>
      <c r="F782" s="10"/>
      <c r="G782" s="10"/>
      <c r="H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  <c r="AH782" s="10"/>
      <c r="AI782" s="10"/>
    </row>
    <row r="783" ht="15.75" customHeight="1">
      <c r="A783" s="10"/>
      <c r="B783" s="10"/>
      <c r="C783" s="10"/>
      <c r="D783" s="10"/>
      <c r="E783" s="10"/>
      <c r="F783" s="10"/>
      <c r="G783" s="10"/>
      <c r="H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  <c r="AH783" s="10"/>
      <c r="AI783" s="10"/>
    </row>
    <row r="784" ht="15.75" customHeight="1">
      <c r="A784" s="10"/>
      <c r="B784" s="10"/>
      <c r="C784" s="10"/>
      <c r="D784" s="10"/>
      <c r="E784" s="10"/>
      <c r="F784" s="10"/>
      <c r="G784" s="10"/>
      <c r="H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  <c r="AH784" s="10"/>
      <c r="AI784" s="10"/>
    </row>
    <row r="785" ht="15.75" customHeight="1">
      <c r="A785" s="10"/>
      <c r="B785" s="10"/>
      <c r="C785" s="10"/>
      <c r="D785" s="10"/>
      <c r="E785" s="10"/>
      <c r="F785" s="10"/>
      <c r="G785" s="10"/>
      <c r="H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  <c r="AH785" s="10"/>
      <c r="AI785" s="10"/>
    </row>
    <row r="786" ht="15.75" customHeight="1">
      <c r="A786" s="10"/>
      <c r="B786" s="10"/>
      <c r="C786" s="10"/>
      <c r="D786" s="10"/>
      <c r="E786" s="10"/>
      <c r="F786" s="10"/>
      <c r="G786" s="10"/>
      <c r="H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  <c r="AH786" s="10"/>
      <c r="AI786" s="10"/>
    </row>
    <row r="787" ht="15.75" customHeight="1">
      <c r="A787" s="10"/>
      <c r="B787" s="10"/>
      <c r="C787" s="10"/>
      <c r="D787" s="10"/>
      <c r="E787" s="10"/>
      <c r="F787" s="10"/>
      <c r="G787" s="10"/>
      <c r="H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  <c r="AH787" s="10"/>
      <c r="AI787" s="10"/>
    </row>
    <row r="788" ht="15.75" customHeight="1">
      <c r="A788" s="10"/>
      <c r="B788" s="10"/>
      <c r="C788" s="10"/>
      <c r="D788" s="10"/>
      <c r="E788" s="10"/>
      <c r="F788" s="10"/>
      <c r="G788" s="10"/>
      <c r="H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  <c r="AH788" s="10"/>
      <c r="AI788" s="10"/>
    </row>
    <row r="789" ht="15.75" customHeight="1">
      <c r="A789" s="10"/>
      <c r="B789" s="10"/>
      <c r="C789" s="10"/>
      <c r="D789" s="10"/>
      <c r="E789" s="10"/>
      <c r="F789" s="10"/>
      <c r="G789" s="10"/>
      <c r="H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  <c r="AH789" s="10"/>
      <c r="AI789" s="10"/>
    </row>
    <row r="790" ht="15.75" customHeight="1">
      <c r="A790" s="10"/>
      <c r="B790" s="10"/>
      <c r="C790" s="10"/>
      <c r="D790" s="10"/>
      <c r="E790" s="10"/>
      <c r="F790" s="10"/>
      <c r="G790" s="10"/>
      <c r="H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  <c r="AH790" s="10"/>
      <c r="AI790" s="10"/>
    </row>
    <row r="791" ht="15.75" customHeight="1">
      <c r="A791" s="10"/>
      <c r="B791" s="10"/>
      <c r="C791" s="10"/>
      <c r="D791" s="10"/>
      <c r="E791" s="10"/>
      <c r="F791" s="10"/>
      <c r="G791" s="10"/>
      <c r="H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  <c r="AH791" s="10"/>
      <c r="AI791" s="10"/>
    </row>
    <row r="792" ht="15.75" customHeight="1">
      <c r="A792" s="10"/>
      <c r="B792" s="10"/>
      <c r="C792" s="10"/>
      <c r="D792" s="10"/>
      <c r="E792" s="10"/>
      <c r="F792" s="10"/>
      <c r="G792" s="10"/>
      <c r="H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  <c r="AH792" s="10"/>
      <c r="AI792" s="10"/>
    </row>
    <row r="793" ht="15.75" customHeight="1">
      <c r="A793" s="10"/>
      <c r="B793" s="10"/>
      <c r="C793" s="10"/>
      <c r="D793" s="10"/>
      <c r="E793" s="10"/>
      <c r="F793" s="10"/>
      <c r="G793" s="10"/>
      <c r="H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  <c r="AH793" s="10"/>
      <c r="AI793" s="10"/>
    </row>
    <row r="794" ht="15.75" customHeight="1">
      <c r="A794" s="10"/>
      <c r="B794" s="10"/>
      <c r="C794" s="10"/>
      <c r="D794" s="10"/>
      <c r="E794" s="10"/>
      <c r="F794" s="10"/>
      <c r="G794" s="10"/>
      <c r="H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  <c r="AH794" s="10"/>
      <c r="AI794" s="10"/>
    </row>
    <row r="795" ht="15.75" customHeight="1">
      <c r="A795" s="10"/>
      <c r="B795" s="10"/>
      <c r="C795" s="10"/>
      <c r="D795" s="10"/>
      <c r="E795" s="10"/>
      <c r="F795" s="10"/>
      <c r="G795" s="10"/>
      <c r="H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  <c r="AH795" s="10"/>
      <c r="AI795" s="10"/>
    </row>
    <row r="796" ht="15.75" customHeight="1">
      <c r="A796" s="10"/>
      <c r="B796" s="10"/>
      <c r="C796" s="10"/>
      <c r="D796" s="10"/>
      <c r="E796" s="10"/>
      <c r="F796" s="10"/>
      <c r="G796" s="10"/>
      <c r="H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  <c r="AH796" s="10"/>
      <c r="AI796" s="10"/>
    </row>
    <row r="797" ht="15.75" customHeight="1">
      <c r="A797" s="10"/>
      <c r="B797" s="10"/>
      <c r="C797" s="10"/>
      <c r="D797" s="10"/>
      <c r="E797" s="10"/>
      <c r="F797" s="10"/>
      <c r="G797" s="10"/>
      <c r="H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  <c r="AH797" s="10"/>
      <c r="AI797" s="10"/>
    </row>
    <row r="798" ht="15.75" customHeight="1">
      <c r="A798" s="10"/>
      <c r="B798" s="10"/>
      <c r="C798" s="10"/>
      <c r="D798" s="10"/>
      <c r="E798" s="10"/>
      <c r="F798" s="10"/>
      <c r="G798" s="10"/>
      <c r="H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  <c r="AH798" s="10"/>
      <c r="AI798" s="10"/>
    </row>
    <row r="799" ht="15.75" customHeight="1">
      <c r="A799" s="10"/>
      <c r="B799" s="10"/>
      <c r="C799" s="10"/>
      <c r="D799" s="10"/>
      <c r="E799" s="10"/>
      <c r="F799" s="10"/>
      <c r="G799" s="10"/>
      <c r="H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  <c r="AH799" s="10"/>
      <c r="AI799" s="10"/>
    </row>
    <row r="800" ht="15.75" customHeight="1">
      <c r="A800" s="10"/>
      <c r="B800" s="10"/>
      <c r="C800" s="10"/>
      <c r="D800" s="10"/>
      <c r="E800" s="10"/>
      <c r="F800" s="10"/>
      <c r="G800" s="10"/>
      <c r="H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  <c r="AH800" s="10"/>
      <c r="AI800" s="10"/>
    </row>
    <row r="801" ht="15.75" customHeight="1">
      <c r="A801" s="10"/>
      <c r="B801" s="10"/>
      <c r="C801" s="10"/>
      <c r="D801" s="10"/>
      <c r="E801" s="10"/>
      <c r="F801" s="10"/>
      <c r="G801" s="10"/>
      <c r="H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  <c r="AH801" s="10"/>
      <c r="AI801" s="10"/>
    </row>
    <row r="802" ht="15.75" customHeight="1">
      <c r="A802" s="10"/>
      <c r="B802" s="10"/>
      <c r="C802" s="10"/>
      <c r="D802" s="10"/>
      <c r="E802" s="10"/>
      <c r="F802" s="10"/>
      <c r="G802" s="10"/>
      <c r="H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  <c r="AH802" s="10"/>
      <c r="AI802" s="10"/>
    </row>
    <row r="803" ht="15.75" customHeight="1">
      <c r="A803" s="10"/>
      <c r="B803" s="10"/>
      <c r="C803" s="10"/>
      <c r="D803" s="10"/>
      <c r="E803" s="10"/>
      <c r="F803" s="10"/>
      <c r="G803" s="10"/>
      <c r="H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  <c r="AH803" s="10"/>
      <c r="AI803" s="10"/>
    </row>
    <row r="804" ht="15.75" customHeight="1">
      <c r="A804" s="10"/>
      <c r="B804" s="10"/>
      <c r="C804" s="10"/>
      <c r="D804" s="10"/>
      <c r="E804" s="10"/>
      <c r="F804" s="10"/>
      <c r="G804" s="10"/>
      <c r="H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  <c r="AH804" s="10"/>
      <c r="AI804" s="10"/>
    </row>
    <row r="805" ht="15.75" customHeight="1">
      <c r="A805" s="10"/>
      <c r="B805" s="10"/>
      <c r="C805" s="10"/>
      <c r="D805" s="10"/>
      <c r="E805" s="10"/>
      <c r="F805" s="10"/>
      <c r="G805" s="10"/>
      <c r="H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  <c r="AH805" s="10"/>
      <c r="AI805" s="10"/>
    </row>
    <row r="806" ht="15.75" customHeight="1">
      <c r="A806" s="10"/>
      <c r="B806" s="10"/>
      <c r="C806" s="10"/>
      <c r="D806" s="10"/>
      <c r="E806" s="10"/>
      <c r="F806" s="10"/>
      <c r="G806" s="10"/>
      <c r="H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  <c r="AH806" s="10"/>
      <c r="AI806" s="10"/>
    </row>
    <row r="807" ht="15.75" customHeight="1">
      <c r="A807" s="10"/>
      <c r="B807" s="10"/>
      <c r="C807" s="10"/>
      <c r="D807" s="10"/>
      <c r="E807" s="10"/>
      <c r="F807" s="10"/>
      <c r="G807" s="10"/>
      <c r="H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  <c r="AH807" s="10"/>
      <c r="AI807" s="10"/>
    </row>
    <row r="808" ht="15.75" customHeight="1">
      <c r="A808" s="10"/>
      <c r="B808" s="10"/>
      <c r="C808" s="10"/>
      <c r="D808" s="10"/>
      <c r="E808" s="10"/>
      <c r="F808" s="10"/>
      <c r="G808" s="10"/>
      <c r="H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  <c r="AH808" s="10"/>
      <c r="AI808" s="10"/>
    </row>
    <row r="809" ht="15.75" customHeight="1">
      <c r="A809" s="10"/>
      <c r="B809" s="10"/>
      <c r="C809" s="10"/>
      <c r="D809" s="10"/>
      <c r="E809" s="10"/>
      <c r="F809" s="10"/>
      <c r="G809" s="10"/>
      <c r="H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  <c r="AH809" s="10"/>
      <c r="AI809" s="10"/>
    </row>
    <row r="810" ht="15.75" customHeight="1">
      <c r="A810" s="10"/>
      <c r="B810" s="10"/>
      <c r="C810" s="10"/>
      <c r="D810" s="10"/>
      <c r="E810" s="10"/>
      <c r="F810" s="10"/>
      <c r="G810" s="10"/>
      <c r="H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  <c r="AH810" s="10"/>
      <c r="AI810" s="10"/>
    </row>
    <row r="811" ht="15.75" customHeight="1">
      <c r="A811" s="10"/>
      <c r="B811" s="10"/>
      <c r="C811" s="10"/>
      <c r="D811" s="10"/>
      <c r="E811" s="10"/>
      <c r="F811" s="10"/>
      <c r="G811" s="10"/>
      <c r="H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  <c r="AH811" s="10"/>
      <c r="AI811" s="10"/>
    </row>
    <row r="812" ht="15.75" customHeight="1">
      <c r="A812" s="10"/>
      <c r="B812" s="10"/>
      <c r="C812" s="10"/>
      <c r="D812" s="10"/>
      <c r="E812" s="10"/>
      <c r="F812" s="10"/>
      <c r="G812" s="10"/>
      <c r="H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  <c r="AH812" s="10"/>
      <c r="AI812" s="10"/>
    </row>
    <row r="813" ht="15.75" customHeight="1">
      <c r="A813" s="10"/>
      <c r="B813" s="10"/>
      <c r="C813" s="10"/>
      <c r="D813" s="10"/>
      <c r="E813" s="10"/>
      <c r="F813" s="10"/>
      <c r="G813" s="10"/>
      <c r="H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  <c r="AH813" s="10"/>
      <c r="AI813" s="10"/>
    </row>
    <row r="814" ht="15.75" customHeight="1">
      <c r="A814" s="10"/>
      <c r="B814" s="10"/>
      <c r="C814" s="10"/>
      <c r="D814" s="10"/>
      <c r="E814" s="10"/>
      <c r="F814" s="10"/>
      <c r="G814" s="10"/>
      <c r="H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  <c r="AH814" s="10"/>
      <c r="AI814" s="10"/>
    </row>
    <row r="815" ht="15.75" customHeight="1">
      <c r="A815" s="10"/>
      <c r="B815" s="10"/>
      <c r="C815" s="10"/>
      <c r="D815" s="10"/>
      <c r="E815" s="10"/>
      <c r="F815" s="10"/>
      <c r="G815" s="10"/>
      <c r="H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  <c r="AH815" s="10"/>
      <c r="AI815" s="10"/>
    </row>
    <row r="816" ht="15.75" customHeight="1">
      <c r="A816" s="10"/>
      <c r="B816" s="10"/>
      <c r="C816" s="10"/>
      <c r="D816" s="10"/>
      <c r="E816" s="10"/>
      <c r="F816" s="10"/>
      <c r="G816" s="10"/>
      <c r="H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  <c r="AH816" s="10"/>
      <c r="AI816" s="10"/>
    </row>
    <row r="817" ht="15.75" customHeight="1">
      <c r="A817" s="10"/>
      <c r="B817" s="10"/>
      <c r="C817" s="10"/>
      <c r="D817" s="10"/>
      <c r="E817" s="10"/>
      <c r="F817" s="10"/>
      <c r="G817" s="10"/>
      <c r="H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  <c r="AH817" s="10"/>
      <c r="AI817" s="10"/>
    </row>
    <row r="818" ht="15.75" customHeight="1">
      <c r="A818" s="10"/>
      <c r="B818" s="10"/>
      <c r="C818" s="10"/>
      <c r="D818" s="10"/>
      <c r="E818" s="10"/>
      <c r="F818" s="10"/>
      <c r="G818" s="10"/>
      <c r="H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  <c r="AH818" s="10"/>
      <c r="AI818" s="10"/>
    </row>
    <row r="819" ht="15.75" customHeight="1">
      <c r="A819" s="10"/>
      <c r="B819" s="10"/>
      <c r="C819" s="10"/>
      <c r="D819" s="10"/>
      <c r="E819" s="10"/>
      <c r="F819" s="10"/>
      <c r="G819" s="10"/>
      <c r="H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  <c r="AH819" s="10"/>
      <c r="AI819" s="10"/>
    </row>
    <row r="820" ht="15.75" customHeight="1">
      <c r="A820" s="10"/>
      <c r="B820" s="10"/>
      <c r="C820" s="10"/>
      <c r="D820" s="10"/>
      <c r="E820" s="10"/>
      <c r="F820" s="10"/>
      <c r="G820" s="10"/>
      <c r="H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  <c r="AH820" s="10"/>
      <c r="AI820" s="10"/>
    </row>
    <row r="821" ht="15.75" customHeight="1">
      <c r="A821" s="10"/>
      <c r="B821" s="10"/>
      <c r="C821" s="10"/>
      <c r="D821" s="10"/>
      <c r="E821" s="10"/>
      <c r="F821" s="10"/>
      <c r="G821" s="10"/>
      <c r="H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  <c r="AH821" s="10"/>
      <c r="AI821" s="10"/>
    </row>
    <row r="822" ht="15.75" customHeight="1">
      <c r="A822" s="10"/>
      <c r="B822" s="10"/>
      <c r="C822" s="10"/>
      <c r="D822" s="10"/>
      <c r="E822" s="10"/>
      <c r="F822" s="10"/>
      <c r="G822" s="10"/>
      <c r="H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  <c r="AH822" s="10"/>
      <c r="AI822" s="10"/>
    </row>
    <row r="823" ht="15.75" customHeight="1">
      <c r="A823" s="10"/>
      <c r="B823" s="10"/>
      <c r="C823" s="10"/>
      <c r="D823" s="10"/>
      <c r="E823" s="10"/>
      <c r="F823" s="10"/>
      <c r="G823" s="10"/>
      <c r="H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  <c r="AH823" s="10"/>
      <c r="AI823" s="10"/>
    </row>
    <row r="824" ht="15.75" customHeight="1">
      <c r="A824" s="10"/>
      <c r="B824" s="10"/>
      <c r="C824" s="10"/>
      <c r="D824" s="10"/>
      <c r="E824" s="10"/>
      <c r="F824" s="10"/>
      <c r="G824" s="10"/>
      <c r="H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  <c r="AH824" s="10"/>
      <c r="AI824" s="10"/>
    </row>
    <row r="825" ht="15.75" customHeight="1">
      <c r="A825" s="10"/>
      <c r="B825" s="10"/>
      <c r="C825" s="10"/>
      <c r="D825" s="10"/>
      <c r="E825" s="10"/>
      <c r="F825" s="10"/>
      <c r="G825" s="10"/>
      <c r="H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  <c r="AH825" s="10"/>
      <c r="AI825" s="10"/>
    </row>
    <row r="826" ht="15.75" customHeight="1">
      <c r="A826" s="10"/>
      <c r="B826" s="10"/>
      <c r="C826" s="10"/>
      <c r="D826" s="10"/>
      <c r="E826" s="10"/>
      <c r="F826" s="10"/>
      <c r="G826" s="10"/>
      <c r="H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  <c r="AH826" s="10"/>
      <c r="AI826" s="10"/>
    </row>
    <row r="827" ht="15.75" customHeight="1">
      <c r="A827" s="10"/>
      <c r="B827" s="10"/>
      <c r="C827" s="10"/>
      <c r="D827" s="10"/>
      <c r="E827" s="10"/>
      <c r="F827" s="10"/>
      <c r="G827" s="10"/>
      <c r="H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  <c r="AH827" s="10"/>
      <c r="AI827" s="10"/>
    </row>
    <row r="828" ht="15.75" customHeight="1">
      <c r="A828" s="10"/>
      <c r="B828" s="10"/>
      <c r="C828" s="10"/>
      <c r="D828" s="10"/>
      <c r="E828" s="10"/>
      <c r="F828" s="10"/>
      <c r="G828" s="10"/>
      <c r="H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  <c r="AH828" s="10"/>
      <c r="AI828" s="10"/>
    </row>
    <row r="829" ht="15.75" customHeight="1">
      <c r="A829" s="10"/>
      <c r="B829" s="10"/>
      <c r="C829" s="10"/>
      <c r="D829" s="10"/>
      <c r="E829" s="10"/>
      <c r="F829" s="10"/>
      <c r="G829" s="10"/>
      <c r="H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  <c r="AH829" s="10"/>
      <c r="AI829" s="10"/>
    </row>
    <row r="830" ht="15.75" customHeight="1">
      <c r="A830" s="10"/>
      <c r="B830" s="10"/>
      <c r="C830" s="10"/>
      <c r="D830" s="10"/>
      <c r="E830" s="10"/>
      <c r="F830" s="10"/>
      <c r="G830" s="10"/>
      <c r="H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</row>
    <row r="831" ht="15.75" customHeight="1">
      <c r="A831" s="10"/>
      <c r="B831" s="10"/>
      <c r="C831" s="10"/>
      <c r="D831" s="10"/>
      <c r="E831" s="10"/>
      <c r="F831" s="10"/>
      <c r="G831" s="10"/>
      <c r="H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  <c r="AH831" s="10"/>
      <c r="AI831" s="10"/>
    </row>
    <row r="832" ht="15.75" customHeight="1">
      <c r="A832" s="10"/>
      <c r="B832" s="10"/>
      <c r="C832" s="10"/>
      <c r="D832" s="10"/>
      <c r="E832" s="10"/>
      <c r="F832" s="10"/>
      <c r="G832" s="10"/>
      <c r="H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  <c r="AH832" s="10"/>
      <c r="AI832" s="10"/>
    </row>
    <row r="833" ht="15.75" customHeight="1">
      <c r="A833" s="10"/>
      <c r="B833" s="10"/>
      <c r="C833" s="10"/>
      <c r="D833" s="10"/>
      <c r="E833" s="10"/>
      <c r="F833" s="10"/>
      <c r="G833" s="10"/>
      <c r="H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  <c r="AH833" s="10"/>
      <c r="AI833" s="10"/>
    </row>
    <row r="834" ht="15.75" customHeight="1">
      <c r="A834" s="10"/>
      <c r="B834" s="10"/>
      <c r="C834" s="10"/>
      <c r="D834" s="10"/>
      <c r="E834" s="10"/>
      <c r="F834" s="10"/>
      <c r="G834" s="10"/>
      <c r="H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  <c r="AH834" s="10"/>
      <c r="AI834" s="10"/>
    </row>
    <row r="835" ht="15.75" customHeight="1">
      <c r="A835" s="10"/>
      <c r="B835" s="10"/>
      <c r="C835" s="10"/>
      <c r="D835" s="10"/>
      <c r="E835" s="10"/>
      <c r="F835" s="10"/>
      <c r="G835" s="10"/>
      <c r="H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  <c r="AH835" s="10"/>
      <c r="AI835" s="10"/>
    </row>
    <row r="836" ht="15.75" customHeight="1">
      <c r="A836" s="10"/>
      <c r="B836" s="10"/>
      <c r="C836" s="10"/>
      <c r="D836" s="10"/>
      <c r="E836" s="10"/>
      <c r="F836" s="10"/>
      <c r="G836" s="10"/>
      <c r="H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  <c r="AH836" s="10"/>
      <c r="AI836" s="10"/>
    </row>
    <row r="837" ht="15.75" customHeight="1">
      <c r="A837" s="10"/>
      <c r="B837" s="10"/>
      <c r="C837" s="10"/>
      <c r="D837" s="10"/>
      <c r="E837" s="10"/>
      <c r="F837" s="10"/>
      <c r="G837" s="10"/>
      <c r="H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  <c r="AH837" s="10"/>
      <c r="AI837" s="10"/>
    </row>
    <row r="838" ht="15.75" customHeight="1">
      <c r="A838" s="10"/>
      <c r="B838" s="10"/>
      <c r="C838" s="10"/>
      <c r="D838" s="10"/>
      <c r="E838" s="10"/>
      <c r="F838" s="10"/>
      <c r="G838" s="10"/>
      <c r="H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  <c r="AH838" s="10"/>
      <c r="AI838" s="10"/>
    </row>
    <row r="839" ht="15.75" customHeight="1">
      <c r="A839" s="10"/>
      <c r="B839" s="10"/>
      <c r="C839" s="10"/>
      <c r="D839" s="10"/>
      <c r="E839" s="10"/>
      <c r="F839" s="10"/>
      <c r="G839" s="10"/>
      <c r="H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  <c r="AH839" s="10"/>
      <c r="AI839" s="10"/>
    </row>
    <row r="840" ht="15.75" customHeight="1">
      <c r="A840" s="10"/>
      <c r="B840" s="10"/>
      <c r="C840" s="10"/>
      <c r="D840" s="10"/>
      <c r="E840" s="10"/>
      <c r="F840" s="10"/>
      <c r="G840" s="10"/>
      <c r="H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  <c r="AH840" s="10"/>
      <c r="AI840" s="10"/>
    </row>
    <row r="841" ht="15.75" customHeight="1">
      <c r="A841" s="10"/>
      <c r="B841" s="10"/>
      <c r="C841" s="10"/>
      <c r="D841" s="10"/>
      <c r="E841" s="10"/>
      <c r="F841" s="10"/>
      <c r="G841" s="10"/>
      <c r="H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  <c r="AH841" s="10"/>
      <c r="AI841" s="10"/>
    </row>
    <row r="842" ht="15.75" customHeight="1">
      <c r="A842" s="10"/>
      <c r="B842" s="10"/>
      <c r="C842" s="10"/>
      <c r="D842" s="10"/>
      <c r="E842" s="10"/>
      <c r="F842" s="10"/>
      <c r="G842" s="10"/>
      <c r="H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  <c r="AH842" s="10"/>
      <c r="AI842" s="10"/>
    </row>
    <row r="843" ht="15.75" customHeight="1">
      <c r="A843" s="10"/>
      <c r="B843" s="10"/>
      <c r="C843" s="10"/>
      <c r="D843" s="10"/>
      <c r="E843" s="10"/>
      <c r="F843" s="10"/>
      <c r="G843" s="10"/>
      <c r="H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  <c r="AH843" s="10"/>
      <c r="AI843" s="10"/>
    </row>
    <row r="844" ht="15.75" customHeight="1">
      <c r="A844" s="10"/>
      <c r="B844" s="10"/>
      <c r="C844" s="10"/>
      <c r="D844" s="10"/>
      <c r="E844" s="10"/>
      <c r="F844" s="10"/>
      <c r="G844" s="10"/>
      <c r="H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  <c r="AH844" s="10"/>
      <c r="AI844" s="10"/>
    </row>
    <row r="845" ht="15.75" customHeight="1">
      <c r="A845" s="10"/>
      <c r="B845" s="10"/>
      <c r="C845" s="10"/>
      <c r="D845" s="10"/>
      <c r="E845" s="10"/>
      <c r="F845" s="10"/>
      <c r="G845" s="10"/>
      <c r="H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  <c r="AH845" s="10"/>
      <c r="AI845" s="10"/>
    </row>
    <row r="846" ht="15.75" customHeight="1">
      <c r="A846" s="10"/>
      <c r="B846" s="10"/>
      <c r="C846" s="10"/>
      <c r="D846" s="10"/>
      <c r="E846" s="10"/>
      <c r="F846" s="10"/>
      <c r="G846" s="10"/>
      <c r="H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  <c r="AH846" s="10"/>
      <c r="AI846" s="10"/>
    </row>
    <row r="847" ht="15.75" customHeight="1">
      <c r="A847" s="10"/>
      <c r="B847" s="10"/>
      <c r="C847" s="10"/>
      <c r="D847" s="10"/>
      <c r="E847" s="10"/>
      <c r="F847" s="10"/>
      <c r="G847" s="10"/>
      <c r="H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  <c r="AH847" s="10"/>
      <c r="AI847" s="10"/>
    </row>
    <row r="848" ht="15.75" customHeight="1">
      <c r="A848" s="10"/>
      <c r="B848" s="10"/>
      <c r="C848" s="10"/>
      <c r="D848" s="10"/>
      <c r="E848" s="10"/>
      <c r="F848" s="10"/>
      <c r="G848" s="10"/>
      <c r="H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  <c r="AH848" s="10"/>
      <c r="AI848" s="10"/>
    </row>
    <row r="849" ht="15.75" customHeight="1">
      <c r="A849" s="10"/>
      <c r="B849" s="10"/>
      <c r="C849" s="10"/>
      <c r="D849" s="10"/>
      <c r="E849" s="10"/>
      <c r="F849" s="10"/>
      <c r="G849" s="10"/>
      <c r="H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  <c r="AH849" s="10"/>
      <c r="AI849" s="10"/>
    </row>
    <row r="850" ht="15.75" customHeight="1">
      <c r="A850" s="10"/>
      <c r="B850" s="10"/>
      <c r="C850" s="10"/>
      <c r="D850" s="10"/>
      <c r="E850" s="10"/>
      <c r="F850" s="10"/>
      <c r="G850" s="10"/>
      <c r="H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  <c r="AH850" s="10"/>
      <c r="AI850" s="10"/>
    </row>
    <row r="851" ht="15.75" customHeight="1">
      <c r="A851" s="10"/>
      <c r="B851" s="10"/>
      <c r="C851" s="10"/>
      <c r="D851" s="10"/>
      <c r="E851" s="10"/>
      <c r="F851" s="10"/>
      <c r="G851" s="10"/>
      <c r="H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  <c r="AH851" s="10"/>
      <c r="AI851" s="10"/>
    </row>
    <row r="852" ht="15.75" customHeight="1">
      <c r="A852" s="10"/>
      <c r="B852" s="10"/>
      <c r="C852" s="10"/>
      <c r="D852" s="10"/>
      <c r="E852" s="10"/>
      <c r="F852" s="10"/>
      <c r="G852" s="10"/>
      <c r="H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  <c r="AH852" s="10"/>
      <c r="AI852" s="10"/>
    </row>
    <row r="853" ht="15.75" customHeight="1">
      <c r="A853" s="10"/>
      <c r="B853" s="10"/>
      <c r="C853" s="10"/>
      <c r="D853" s="10"/>
      <c r="E853" s="10"/>
      <c r="F853" s="10"/>
      <c r="G853" s="10"/>
      <c r="H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  <c r="AH853" s="10"/>
      <c r="AI853" s="10"/>
    </row>
    <row r="854" ht="15.75" customHeight="1">
      <c r="A854" s="10"/>
      <c r="B854" s="10"/>
      <c r="C854" s="10"/>
      <c r="D854" s="10"/>
      <c r="E854" s="10"/>
      <c r="F854" s="10"/>
      <c r="G854" s="10"/>
      <c r="H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  <c r="AH854" s="10"/>
      <c r="AI854" s="10"/>
    </row>
    <row r="855" ht="15.75" customHeight="1">
      <c r="A855" s="10"/>
      <c r="B855" s="10"/>
      <c r="C855" s="10"/>
      <c r="D855" s="10"/>
      <c r="E855" s="10"/>
      <c r="F855" s="10"/>
      <c r="G855" s="10"/>
      <c r="H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  <c r="AH855" s="10"/>
      <c r="AI855" s="10"/>
    </row>
    <row r="856" ht="15.75" customHeight="1">
      <c r="A856" s="10"/>
      <c r="B856" s="10"/>
      <c r="C856" s="10"/>
      <c r="D856" s="10"/>
      <c r="E856" s="10"/>
      <c r="F856" s="10"/>
      <c r="G856" s="10"/>
      <c r="H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  <c r="AH856" s="10"/>
      <c r="AI856" s="10"/>
    </row>
    <row r="857" ht="15.75" customHeight="1">
      <c r="A857" s="10"/>
      <c r="B857" s="10"/>
      <c r="C857" s="10"/>
      <c r="D857" s="10"/>
      <c r="E857" s="10"/>
      <c r="F857" s="10"/>
      <c r="G857" s="10"/>
      <c r="H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  <c r="AH857" s="10"/>
      <c r="AI857" s="10"/>
    </row>
    <row r="858" ht="15.75" customHeight="1">
      <c r="A858" s="10"/>
      <c r="B858" s="10"/>
      <c r="C858" s="10"/>
      <c r="D858" s="10"/>
      <c r="E858" s="10"/>
      <c r="F858" s="10"/>
      <c r="G858" s="10"/>
      <c r="H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  <c r="AH858" s="10"/>
      <c r="AI858" s="10"/>
    </row>
    <row r="859" ht="15.75" customHeight="1">
      <c r="A859" s="10"/>
      <c r="B859" s="10"/>
      <c r="C859" s="10"/>
      <c r="D859" s="10"/>
      <c r="E859" s="10"/>
      <c r="F859" s="10"/>
      <c r="G859" s="10"/>
      <c r="H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  <c r="AH859" s="10"/>
      <c r="AI859" s="10"/>
    </row>
    <row r="860" ht="15.75" customHeight="1">
      <c r="A860" s="10"/>
      <c r="B860" s="10"/>
      <c r="C860" s="10"/>
      <c r="D860" s="10"/>
      <c r="E860" s="10"/>
      <c r="F860" s="10"/>
      <c r="G860" s="10"/>
      <c r="H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  <c r="AH860" s="10"/>
      <c r="AI860" s="10"/>
    </row>
    <row r="861" ht="15.75" customHeight="1">
      <c r="A861" s="10"/>
      <c r="B861" s="10"/>
      <c r="C861" s="10"/>
      <c r="D861" s="10"/>
      <c r="E861" s="10"/>
      <c r="F861" s="10"/>
      <c r="G861" s="10"/>
      <c r="H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  <c r="AH861" s="10"/>
      <c r="AI861" s="10"/>
    </row>
    <row r="862" ht="15.75" customHeight="1">
      <c r="A862" s="10"/>
      <c r="B862" s="10"/>
      <c r="C862" s="10"/>
      <c r="D862" s="10"/>
      <c r="E862" s="10"/>
      <c r="F862" s="10"/>
      <c r="G862" s="10"/>
      <c r="H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  <c r="AH862" s="10"/>
      <c r="AI862" s="10"/>
    </row>
    <row r="863" ht="15.75" customHeight="1">
      <c r="A863" s="10"/>
      <c r="B863" s="10"/>
      <c r="C863" s="10"/>
      <c r="D863" s="10"/>
      <c r="E863" s="10"/>
      <c r="F863" s="10"/>
      <c r="G863" s="10"/>
      <c r="H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</row>
    <row r="864" ht="15.75" customHeight="1">
      <c r="A864" s="10"/>
      <c r="B864" s="10"/>
      <c r="C864" s="10"/>
      <c r="D864" s="10"/>
      <c r="E864" s="10"/>
      <c r="F864" s="10"/>
      <c r="G864" s="10"/>
      <c r="H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</row>
    <row r="865" ht="15.75" customHeight="1">
      <c r="A865" s="10"/>
      <c r="B865" s="10"/>
      <c r="C865" s="10"/>
      <c r="D865" s="10"/>
      <c r="E865" s="10"/>
      <c r="F865" s="10"/>
      <c r="G865" s="10"/>
      <c r="H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  <c r="AH865" s="10"/>
      <c r="AI865" s="10"/>
    </row>
    <row r="866" ht="15.75" customHeight="1">
      <c r="A866" s="10"/>
      <c r="B866" s="10"/>
      <c r="C866" s="10"/>
      <c r="D866" s="10"/>
      <c r="E866" s="10"/>
      <c r="F866" s="10"/>
      <c r="G866" s="10"/>
      <c r="H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  <c r="AH866" s="10"/>
      <c r="AI866" s="10"/>
    </row>
    <row r="867" ht="15.75" customHeight="1">
      <c r="A867" s="10"/>
      <c r="B867" s="10"/>
      <c r="C867" s="10"/>
      <c r="D867" s="10"/>
      <c r="E867" s="10"/>
      <c r="F867" s="10"/>
      <c r="G867" s="10"/>
      <c r="H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  <c r="AH867" s="10"/>
      <c r="AI867" s="10"/>
    </row>
    <row r="868" ht="15.75" customHeight="1">
      <c r="A868" s="10"/>
      <c r="B868" s="10"/>
      <c r="C868" s="10"/>
      <c r="D868" s="10"/>
      <c r="E868" s="10"/>
      <c r="F868" s="10"/>
      <c r="G868" s="10"/>
      <c r="H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  <c r="AH868" s="10"/>
      <c r="AI868" s="10"/>
    </row>
    <row r="869" ht="15.75" customHeight="1">
      <c r="A869" s="10"/>
      <c r="B869" s="10"/>
      <c r="C869" s="10"/>
      <c r="D869" s="10"/>
      <c r="E869" s="10"/>
      <c r="F869" s="10"/>
      <c r="G869" s="10"/>
      <c r="H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  <c r="AH869" s="10"/>
      <c r="AI869" s="10"/>
    </row>
    <row r="870" ht="15.75" customHeight="1">
      <c r="A870" s="10"/>
      <c r="B870" s="10"/>
      <c r="C870" s="10"/>
      <c r="D870" s="10"/>
      <c r="E870" s="10"/>
      <c r="F870" s="10"/>
      <c r="G870" s="10"/>
      <c r="H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  <c r="AH870" s="10"/>
      <c r="AI870" s="10"/>
    </row>
    <row r="871" ht="15.75" customHeight="1">
      <c r="A871" s="10"/>
      <c r="B871" s="10"/>
      <c r="C871" s="10"/>
      <c r="D871" s="10"/>
      <c r="E871" s="10"/>
      <c r="F871" s="10"/>
      <c r="G871" s="10"/>
      <c r="H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  <c r="AH871" s="10"/>
      <c r="AI871" s="10"/>
    </row>
    <row r="872" ht="15.75" customHeight="1">
      <c r="A872" s="10"/>
      <c r="B872" s="10"/>
      <c r="C872" s="10"/>
      <c r="D872" s="10"/>
      <c r="E872" s="10"/>
      <c r="F872" s="10"/>
      <c r="G872" s="10"/>
      <c r="H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  <c r="AH872" s="10"/>
      <c r="AI872" s="10"/>
    </row>
    <row r="873" ht="15.75" customHeight="1">
      <c r="A873" s="10"/>
      <c r="B873" s="10"/>
      <c r="C873" s="10"/>
      <c r="D873" s="10"/>
      <c r="E873" s="10"/>
      <c r="F873" s="10"/>
      <c r="G873" s="10"/>
      <c r="H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  <c r="AH873" s="10"/>
      <c r="AI873" s="10"/>
    </row>
    <row r="874" ht="15.75" customHeight="1">
      <c r="A874" s="10"/>
      <c r="B874" s="10"/>
      <c r="C874" s="10"/>
      <c r="D874" s="10"/>
      <c r="E874" s="10"/>
      <c r="F874" s="10"/>
      <c r="G874" s="10"/>
      <c r="H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  <c r="AH874" s="10"/>
      <c r="AI874" s="10"/>
    </row>
    <row r="875" ht="15.75" customHeight="1">
      <c r="A875" s="10"/>
      <c r="B875" s="10"/>
      <c r="C875" s="10"/>
      <c r="D875" s="10"/>
      <c r="E875" s="10"/>
      <c r="F875" s="10"/>
      <c r="G875" s="10"/>
      <c r="H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  <c r="AH875" s="10"/>
      <c r="AI875" s="10"/>
    </row>
    <row r="876" ht="15.75" customHeight="1">
      <c r="A876" s="10"/>
      <c r="B876" s="10"/>
      <c r="C876" s="10"/>
      <c r="D876" s="10"/>
      <c r="E876" s="10"/>
      <c r="F876" s="10"/>
      <c r="G876" s="10"/>
      <c r="H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  <c r="AH876" s="10"/>
      <c r="AI876" s="10"/>
    </row>
    <row r="877" ht="15.75" customHeight="1">
      <c r="A877" s="10"/>
      <c r="B877" s="10"/>
      <c r="C877" s="10"/>
      <c r="D877" s="10"/>
      <c r="E877" s="10"/>
      <c r="F877" s="10"/>
      <c r="G877" s="10"/>
      <c r="H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  <c r="AH877" s="10"/>
      <c r="AI877" s="10"/>
    </row>
    <row r="878" ht="15.75" customHeight="1">
      <c r="A878" s="10"/>
      <c r="B878" s="10"/>
      <c r="C878" s="10"/>
      <c r="D878" s="10"/>
      <c r="E878" s="10"/>
      <c r="F878" s="10"/>
      <c r="G878" s="10"/>
      <c r="H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  <c r="AH878" s="10"/>
      <c r="AI878" s="10"/>
    </row>
    <row r="879" ht="15.75" customHeight="1">
      <c r="A879" s="10"/>
      <c r="B879" s="10"/>
      <c r="C879" s="10"/>
      <c r="D879" s="10"/>
      <c r="E879" s="10"/>
      <c r="F879" s="10"/>
      <c r="G879" s="10"/>
      <c r="H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  <c r="AH879" s="10"/>
      <c r="AI879" s="10"/>
    </row>
    <row r="880" ht="15.75" customHeight="1">
      <c r="A880" s="10"/>
      <c r="B880" s="10"/>
      <c r="C880" s="10"/>
      <c r="D880" s="10"/>
      <c r="E880" s="10"/>
      <c r="F880" s="10"/>
      <c r="G880" s="10"/>
      <c r="H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  <c r="AH880" s="10"/>
      <c r="AI880" s="10"/>
    </row>
    <row r="881" ht="15.75" customHeight="1">
      <c r="A881" s="10"/>
      <c r="B881" s="10"/>
      <c r="C881" s="10"/>
      <c r="D881" s="10"/>
      <c r="E881" s="10"/>
      <c r="F881" s="10"/>
      <c r="G881" s="10"/>
      <c r="H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  <c r="AH881" s="10"/>
      <c r="AI881" s="10"/>
    </row>
    <row r="882" ht="15.75" customHeight="1">
      <c r="A882" s="10"/>
      <c r="B882" s="10"/>
      <c r="C882" s="10"/>
      <c r="D882" s="10"/>
      <c r="E882" s="10"/>
      <c r="F882" s="10"/>
      <c r="G882" s="10"/>
      <c r="H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  <c r="AH882" s="10"/>
      <c r="AI882" s="10"/>
    </row>
    <row r="883" ht="15.75" customHeight="1">
      <c r="A883" s="10"/>
      <c r="B883" s="10"/>
      <c r="C883" s="10"/>
      <c r="D883" s="10"/>
      <c r="E883" s="10"/>
      <c r="F883" s="10"/>
      <c r="G883" s="10"/>
      <c r="H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  <c r="AH883" s="10"/>
      <c r="AI883" s="10"/>
    </row>
    <row r="884" ht="15.75" customHeight="1">
      <c r="A884" s="10"/>
      <c r="B884" s="10"/>
      <c r="C884" s="10"/>
      <c r="D884" s="10"/>
      <c r="E884" s="10"/>
      <c r="F884" s="10"/>
      <c r="G884" s="10"/>
      <c r="H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  <c r="AH884" s="10"/>
      <c r="AI884" s="10"/>
    </row>
    <row r="885" ht="15.75" customHeight="1">
      <c r="A885" s="10"/>
      <c r="B885" s="10"/>
      <c r="C885" s="10"/>
      <c r="D885" s="10"/>
      <c r="E885" s="10"/>
      <c r="F885" s="10"/>
      <c r="G885" s="10"/>
      <c r="H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  <c r="AH885" s="10"/>
      <c r="AI885" s="10"/>
    </row>
    <row r="886" ht="15.75" customHeight="1">
      <c r="A886" s="10"/>
      <c r="B886" s="10"/>
      <c r="C886" s="10"/>
      <c r="D886" s="10"/>
      <c r="E886" s="10"/>
      <c r="F886" s="10"/>
      <c r="G886" s="10"/>
      <c r="H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  <c r="AH886" s="10"/>
      <c r="AI886" s="10"/>
    </row>
    <row r="887" ht="15.75" customHeight="1">
      <c r="A887" s="10"/>
      <c r="B887" s="10"/>
      <c r="C887" s="10"/>
      <c r="D887" s="10"/>
      <c r="E887" s="10"/>
      <c r="F887" s="10"/>
      <c r="G887" s="10"/>
      <c r="H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  <c r="AH887" s="10"/>
      <c r="AI887" s="10"/>
    </row>
    <row r="888" ht="15.75" customHeight="1">
      <c r="A888" s="10"/>
      <c r="B888" s="10"/>
      <c r="C888" s="10"/>
      <c r="D888" s="10"/>
      <c r="E888" s="10"/>
      <c r="F888" s="10"/>
      <c r="G888" s="10"/>
      <c r="H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  <c r="AH888" s="10"/>
      <c r="AI888" s="10"/>
    </row>
    <row r="889" ht="15.75" customHeight="1">
      <c r="A889" s="10"/>
      <c r="B889" s="10"/>
      <c r="C889" s="10"/>
      <c r="D889" s="10"/>
      <c r="E889" s="10"/>
      <c r="F889" s="10"/>
      <c r="G889" s="10"/>
      <c r="H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  <c r="AH889" s="10"/>
      <c r="AI889" s="10"/>
    </row>
    <row r="890" ht="15.75" customHeight="1">
      <c r="A890" s="10"/>
      <c r="B890" s="10"/>
      <c r="C890" s="10"/>
      <c r="D890" s="10"/>
      <c r="E890" s="10"/>
      <c r="F890" s="10"/>
      <c r="G890" s="10"/>
      <c r="H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  <c r="AH890" s="10"/>
      <c r="AI890" s="10"/>
    </row>
    <row r="891" ht="15.75" customHeight="1">
      <c r="A891" s="10"/>
      <c r="B891" s="10"/>
      <c r="C891" s="10"/>
      <c r="D891" s="10"/>
      <c r="E891" s="10"/>
      <c r="F891" s="10"/>
      <c r="G891" s="10"/>
      <c r="H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  <c r="AH891" s="10"/>
      <c r="AI891" s="10"/>
    </row>
    <row r="892" ht="15.75" customHeight="1">
      <c r="A892" s="10"/>
      <c r="B892" s="10"/>
      <c r="C892" s="10"/>
      <c r="D892" s="10"/>
      <c r="E892" s="10"/>
      <c r="F892" s="10"/>
      <c r="G892" s="10"/>
      <c r="H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  <c r="AH892" s="10"/>
      <c r="AI892" s="10"/>
    </row>
    <row r="893" ht="15.75" customHeight="1">
      <c r="A893" s="10"/>
      <c r="B893" s="10"/>
      <c r="C893" s="10"/>
      <c r="D893" s="10"/>
      <c r="E893" s="10"/>
      <c r="F893" s="10"/>
      <c r="G893" s="10"/>
      <c r="H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  <c r="AH893" s="10"/>
      <c r="AI893" s="10"/>
    </row>
    <row r="894" ht="15.75" customHeight="1">
      <c r="A894" s="10"/>
      <c r="B894" s="10"/>
      <c r="C894" s="10"/>
      <c r="D894" s="10"/>
      <c r="E894" s="10"/>
      <c r="F894" s="10"/>
      <c r="G894" s="10"/>
      <c r="H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  <c r="AH894" s="10"/>
      <c r="AI894" s="10"/>
    </row>
    <row r="895" ht="15.75" customHeight="1">
      <c r="A895" s="10"/>
      <c r="B895" s="10"/>
      <c r="C895" s="10"/>
      <c r="D895" s="10"/>
      <c r="E895" s="10"/>
      <c r="F895" s="10"/>
      <c r="G895" s="10"/>
      <c r="H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  <c r="AH895" s="10"/>
      <c r="AI895" s="10"/>
    </row>
    <row r="896" ht="15.75" customHeight="1">
      <c r="A896" s="10"/>
      <c r="B896" s="10"/>
      <c r="C896" s="10"/>
      <c r="D896" s="10"/>
      <c r="E896" s="10"/>
      <c r="F896" s="10"/>
      <c r="G896" s="10"/>
      <c r="H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  <c r="AH896" s="10"/>
      <c r="AI896" s="10"/>
    </row>
    <row r="897" ht="15.75" customHeight="1">
      <c r="A897" s="10"/>
      <c r="B897" s="10"/>
      <c r="C897" s="10"/>
      <c r="D897" s="10"/>
      <c r="E897" s="10"/>
      <c r="F897" s="10"/>
      <c r="G897" s="10"/>
      <c r="H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  <c r="AH897" s="10"/>
      <c r="AI897" s="10"/>
    </row>
    <row r="898" ht="15.75" customHeight="1">
      <c r="A898" s="10"/>
      <c r="B898" s="10"/>
      <c r="C898" s="10"/>
      <c r="D898" s="10"/>
      <c r="E898" s="10"/>
      <c r="F898" s="10"/>
      <c r="G898" s="10"/>
      <c r="H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  <c r="AH898" s="10"/>
      <c r="AI898" s="10"/>
    </row>
    <row r="899" ht="15.75" customHeight="1">
      <c r="A899" s="10"/>
      <c r="B899" s="10"/>
      <c r="C899" s="10"/>
      <c r="D899" s="10"/>
      <c r="E899" s="10"/>
      <c r="F899" s="10"/>
      <c r="G899" s="10"/>
      <c r="H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  <c r="AH899" s="10"/>
      <c r="AI899" s="10"/>
    </row>
    <row r="900" ht="15.75" customHeight="1">
      <c r="A900" s="10"/>
      <c r="B900" s="10"/>
      <c r="C900" s="10"/>
      <c r="D900" s="10"/>
      <c r="E900" s="10"/>
      <c r="F900" s="10"/>
      <c r="G900" s="10"/>
      <c r="H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  <c r="AH900" s="10"/>
      <c r="AI900" s="10"/>
    </row>
    <row r="901" ht="15.75" customHeight="1">
      <c r="A901" s="10"/>
      <c r="B901" s="10"/>
      <c r="C901" s="10"/>
      <c r="D901" s="10"/>
      <c r="E901" s="10"/>
      <c r="F901" s="10"/>
      <c r="G901" s="10"/>
      <c r="H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  <c r="AH901" s="10"/>
      <c r="AI901" s="10"/>
    </row>
    <row r="902" ht="15.75" customHeight="1">
      <c r="A902" s="10"/>
      <c r="B902" s="10"/>
      <c r="C902" s="10"/>
      <c r="D902" s="10"/>
      <c r="E902" s="10"/>
      <c r="F902" s="10"/>
      <c r="G902" s="10"/>
      <c r="H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  <c r="AH902" s="10"/>
      <c r="AI902" s="10"/>
    </row>
    <row r="903" ht="15.75" customHeight="1">
      <c r="A903" s="10"/>
      <c r="B903" s="10"/>
      <c r="C903" s="10"/>
      <c r="D903" s="10"/>
      <c r="E903" s="10"/>
      <c r="F903" s="10"/>
      <c r="G903" s="10"/>
      <c r="H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  <c r="AH903" s="10"/>
      <c r="AI903" s="10"/>
    </row>
    <row r="904" ht="15.75" customHeight="1">
      <c r="A904" s="10"/>
      <c r="B904" s="10"/>
      <c r="C904" s="10"/>
      <c r="D904" s="10"/>
      <c r="E904" s="10"/>
      <c r="F904" s="10"/>
      <c r="G904" s="10"/>
      <c r="H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  <c r="AH904" s="10"/>
      <c r="AI904" s="10"/>
    </row>
    <row r="905" ht="15.75" customHeight="1">
      <c r="A905" s="10"/>
      <c r="B905" s="10"/>
      <c r="C905" s="10"/>
      <c r="D905" s="10"/>
      <c r="E905" s="10"/>
      <c r="F905" s="10"/>
      <c r="G905" s="10"/>
      <c r="H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  <c r="AH905" s="10"/>
      <c r="AI905" s="10"/>
    </row>
    <row r="906" ht="15.75" customHeight="1">
      <c r="A906" s="10"/>
      <c r="B906" s="10"/>
      <c r="C906" s="10"/>
      <c r="D906" s="10"/>
      <c r="E906" s="10"/>
      <c r="F906" s="10"/>
      <c r="G906" s="10"/>
      <c r="H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  <c r="AH906" s="10"/>
      <c r="AI906" s="10"/>
    </row>
    <row r="907" ht="15.75" customHeight="1">
      <c r="A907" s="10"/>
      <c r="B907" s="10"/>
      <c r="C907" s="10"/>
      <c r="D907" s="10"/>
      <c r="E907" s="10"/>
      <c r="F907" s="10"/>
      <c r="G907" s="10"/>
      <c r="H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  <c r="AH907" s="10"/>
      <c r="AI907" s="10"/>
    </row>
    <row r="908" ht="15.75" customHeight="1">
      <c r="A908" s="10"/>
      <c r="B908" s="10"/>
      <c r="C908" s="10"/>
      <c r="D908" s="10"/>
      <c r="E908" s="10"/>
      <c r="F908" s="10"/>
      <c r="G908" s="10"/>
      <c r="H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  <c r="AH908" s="10"/>
      <c r="AI908" s="10"/>
    </row>
    <row r="909" ht="15.75" customHeight="1">
      <c r="A909" s="10"/>
      <c r="B909" s="10"/>
      <c r="C909" s="10"/>
      <c r="D909" s="10"/>
      <c r="E909" s="10"/>
      <c r="F909" s="10"/>
      <c r="G909" s="10"/>
      <c r="H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  <c r="AH909" s="10"/>
      <c r="AI909" s="10"/>
    </row>
    <row r="910" ht="15.75" customHeight="1">
      <c r="A910" s="10"/>
      <c r="B910" s="10"/>
      <c r="C910" s="10"/>
      <c r="D910" s="10"/>
      <c r="E910" s="10"/>
      <c r="F910" s="10"/>
      <c r="G910" s="10"/>
      <c r="H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  <c r="AH910" s="10"/>
      <c r="AI910" s="10"/>
    </row>
    <row r="911" ht="15.75" customHeight="1">
      <c r="A911" s="10"/>
      <c r="B911" s="10"/>
      <c r="C911" s="10"/>
      <c r="D911" s="10"/>
      <c r="E911" s="10"/>
      <c r="F911" s="10"/>
      <c r="G911" s="10"/>
      <c r="H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  <c r="AH911" s="10"/>
      <c r="AI911" s="10"/>
    </row>
    <row r="912" ht="15.75" customHeight="1">
      <c r="A912" s="10"/>
      <c r="B912" s="10"/>
      <c r="C912" s="10"/>
      <c r="D912" s="10"/>
      <c r="E912" s="10"/>
      <c r="F912" s="10"/>
      <c r="G912" s="10"/>
      <c r="H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  <c r="AH912" s="10"/>
      <c r="AI912" s="10"/>
    </row>
    <row r="913" ht="15.75" customHeight="1">
      <c r="A913" s="10"/>
      <c r="B913" s="10"/>
      <c r="C913" s="10"/>
      <c r="D913" s="10"/>
      <c r="E913" s="10"/>
      <c r="F913" s="10"/>
      <c r="G913" s="10"/>
      <c r="H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  <c r="AH913" s="10"/>
      <c r="AI913" s="10"/>
    </row>
    <row r="914" ht="15.75" customHeight="1">
      <c r="A914" s="10"/>
      <c r="B914" s="10"/>
      <c r="C914" s="10"/>
      <c r="D914" s="10"/>
      <c r="E914" s="10"/>
      <c r="F914" s="10"/>
      <c r="G914" s="10"/>
      <c r="H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  <c r="AH914" s="10"/>
      <c r="AI914" s="10"/>
    </row>
    <row r="915" ht="15.75" customHeight="1">
      <c r="A915" s="10"/>
      <c r="B915" s="10"/>
      <c r="C915" s="10"/>
      <c r="D915" s="10"/>
      <c r="E915" s="10"/>
      <c r="F915" s="10"/>
      <c r="G915" s="10"/>
      <c r="H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  <c r="AH915" s="10"/>
      <c r="AI915" s="10"/>
    </row>
    <row r="916" ht="15.75" customHeight="1">
      <c r="A916" s="10"/>
      <c r="B916" s="10"/>
      <c r="C916" s="10"/>
      <c r="D916" s="10"/>
      <c r="E916" s="10"/>
      <c r="F916" s="10"/>
      <c r="G916" s="10"/>
      <c r="H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  <c r="AH916" s="10"/>
      <c r="AI916" s="10"/>
    </row>
    <row r="917" ht="15.75" customHeight="1">
      <c r="A917" s="10"/>
      <c r="B917" s="10"/>
      <c r="C917" s="10"/>
      <c r="D917" s="10"/>
      <c r="E917" s="10"/>
      <c r="F917" s="10"/>
      <c r="G917" s="10"/>
      <c r="H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  <c r="AH917" s="10"/>
      <c r="AI917" s="10"/>
    </row>
    <row r="918" ht="15.75" customHeight="1">
      <c r="A918" s="10"/>
      <c r="B918" s="10"/>
      <c r="C918" s="10"/>
      <c r="D918" s="10"/>
      <c r="E918" s="10"/>
      <c r="F918" s="10"/>
      <c r="G918" s="10"/>
      <c r="H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  <c r="AH918" s="10"/>
      <c r="AI918" s="10"/>
    </row>
    <row r="919" ht="15.75" customHeight="1">
      <c r="A919" s="10"/>
      <c r="B919" s="10"/>
      <c r="C919" s="10"/>
      <c r="D919" s="10"/>
      <c r="E919" s="10"/>
      <c r="F919" s="10"/>
      <c r="G919" s="10"/>
      <c r="H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  <c r="AH919" s="10"/>
      <c r="AI919" s="10"/>
    </row>
    <row r="920" ht="15.75" customHeight="1">
      <c r="A920" s="10"/>
      <c r="B920" s="10"/>
      <c r="C920" s="10"/>
      <c r="D920" s="10"/>
      <c r="E920" s="10"/>
      <c r="F920" s="10"/>
      <c r="G920" s="10"/>
      <c r="H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  <c r="AH920" s="10"/>
      <c r="AI920" s="10"/>
    </row>
    <row r="921" ht="15.75" customHeight="1">
      <c r="A921" s="10"/>
      <c r="B921" s="10"/>
      <c r="C921" s="10"/>
      <c r="D921" s="10"/>
      <c r="E921" s="10"/>
      <c r="F921" s="10"/>
      <c r="G921" s="10"/>
      <c r="H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  <c r="AH921" s="10"/>
      <c r="AI921" s="10"/>
    </row>
    <row r="922" ht="15.75" customHeight="1">
      <c r="A922" s="10"/>
      <c r="B922" s="10"/>
      <c r="C922" s="10"/>
      <c r="D922" s="10"/>
      <c r="E922" s="10"/>
      <c r="F922" s="10"/>
      <c r="G922" s="10"/>
      <c r="H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  <c r="AH922" s="10"/>
      <c r="AI922" s="10"/>
    </row>
    <row r="923" ht="15.75" customHeight="1">
      <c r="A923" s="10"/>
      <c r="B923" s="10"/>
      <c r="C923" s="10"/>
      <c r="D923" s="10"/>
      <c r="E923" s="10"/>
      <c r="F923" s="10"/>
      <c r="G923" s="10"/>
      <c r="H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  <c r="AH923" s="10"/>
      <c r="AI923" s="10"/>
    </row>
    <row r="924" ht="15.75" customHeight="1">
      <c r="A924" s="10"/>
      <c r="B924" s="10"/>
      <c r="C924" s="10"/>
      <c r="D924" s="10"/>
      <c r="E924" s="10"/>
      <c r="F924" s="10"/>
      <c r="G924" s="10"/>
      <c r="H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  <c r="AH924" s="10"/>
      <c r="AI924" s="10"/>
    </row>
    <row r="925" ht="15.75" customHeight="1">
      <c r="A925" s="10"/>
      <c r="B925" s="10"/>
      <c r="C925" s="10"/>
      <c r="D925" s="10"/>
      <c r="E925" s="10"/>
      <c r="F925" s="10"/>
      <c r="G925" s="10"/>
      <c r="H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  <c r="AH925" s="10"/>
      <c r="AI925" s="10"/>
    </row>
    <row r="926" ht="15.75" customHeight="1">
      <c r="A926" s="10"/>
      <c r="B926" s="10"/>
      <c r="C926" s="10"/>
      <c r="D926" s="10"/>
      <c r="E926" s="10"/>
      <c r="F926" s="10"/>
      <c r="G926" s="10"/>
      <c r="H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  <c r="AH926" s="10"/>
      <c r="AI926" s="10"/>
    </row>
    <row r="927" ht="15.75" customHeight="1">
      <c r="A927" s="10"/>
      <c r="B927" s="10"/>
      <c r="C927" s="10"/>
      <c r="D927" s="10"/>
      <c r="E927" s="10"/>
      <c r="F927" s="10"/>
      <c r="G927" s="10"/>
      <c r="H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  <c r="AH927" s="10"/>
      <c r="AI927" s="10"/>
    </row>
    <row r="928" ht="15.75" customHeight="1">
      <c r="A928" s="10"/>
      <c r="B928" s="10"/>
      <c r="C928" s="10"/>
      <c r="D928" s="10"/>
      <c r="E928" s="10"/>
      <c r="F928" s="10"/>
      <c r="G928" s="10"/>
      <c r="H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  <c r="AH928" s="10"/>
      <c r="AI928" s="10"/>
    </row>
    <row r="929" ht="15.75" customHeight="1">
      <c r="A929" s="10"/>
      <c r="B929" s="10"/>
      <c r="C929" s="10"/>
      <c r="D929" s="10"/>
      <c r="E929" s="10"/>
      <c r="F929" s="10"/>
      <c r="G929" s="10"/>
      <c r="H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  <c r="AH929" s="10"/>
      <c r="AI929" s="10"/>
    </row>
    <row r="930" ht="15.75" customHeight="1">
      <c r="A930" s="10"/>
      <c r="B930" s="10"/>
      <c r="C930" s="10"/>
      <c r="D930" s="10"/>
      <c r="E930" s="10"/>
      <c r="F930" s="10"/>
      <c r="G930" s="10"/>
      <c r="H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  <c r="AH930" s="10"/>
      <c r="AI930" s="10"/>
    </row>
    <row r="931" ht="15.75" customHeight="1">
      <c r="A931" s="10"/>
      <c r="B931" s="10"/>
      <c r="C931" s="10"/>
      <c r="D931" s="10"/>
      <c r="E931" s="10"/>
      <c r="F931" s="10"/>
      <c r="G931" s="10"/>
      <c r="H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  <c r="AH931" s="10"/>
      <c r="AI931" s="10"/>
    </row>
    <row r="932" ht="15.75" customHeight="1">
      <c r="A932" s="10"/>
      <c r="B932" s="10"/>
      <c r="C932" s="10"/>
      <c r="D932" s="10"/>
      <c r="E932" s="10"/>
      <c r="F932" s="10"/>
      <c r="G932" s="10"/>
      <c r="H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  <c r="AH932" s="10"/>
      <c r="AI932" s="10"/>
    </row>
    <row r="933" ht="15.75" customHeight="1">
      <c r="A933" s="10"/>
      <c r="B933" s="10"/>
      <c r="C933" s="10"/>
      <c r="D933" s="10"/>
      <c r="E933" s="10"/>
      <c r="F933" s="10"/>
      <c r="G933" s="10"/>
      <c r="H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  <c r="AH933" s="10"/>
      <c r="AI933" s="10"/>
    </row>
    <row r="934" ht="15.75" customHeight="1">
      <c r="A934" s="10"/>
      <c r="B934" s="10"/>
      <c r="C934" s="10"/>
      <c r="D934" s="10"/>
      <c r="E934" s="10"/>
      <c r="F934" s="10"/>
      <c r="G934" s="10"/>
      <c r="H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  <c r="AH934" s="10"/>
      <c r="AI934" s="10"/>
    </row>
    <row r="935" ht="15.75" customHeight="1">
      <c r="A935" s="10"/>
      <c r="B935" s="10"/>
      <c r="C935" s="10"/>
      <c r="D935" s="10"/>
      <c r="E935" s="10"/>
      <c r="F935" s="10"/>
      <c r="G935" s="10"/>
      <c r="H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  <c r="AH935" s="10"/>
      <c r="AI935" s="10"/>
    </row>
    <row r="936" ht="15.75" customHeight="1">
      <c r="A936" s="10"/>
      <c r="B936" s="10"/>
      <c r="C936" s="10"/>
      <c r="D936" s="10"/>
      <c r="E936" s="10"/>
      <c r="F936" s="10"/>
      <c r="G936" s="10"/>
      <c r="H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  <c r="AH936" s="10"/>
      <c r="AI936" s="10"/>
    </row>
    <row r="937" ht="15.75" customHeight="1">
      <c r="A937" s="10"/>
      <c r="B937" s="10"/>
      <c r="C937" s="10"/>
      <c r="D937" s="10"/>
      <c r="E937" s="10"/>
      <c r="F937" s="10"/>
      <c r="G937" s="10"/>
      <c r="H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  <c r="AH937" s="10"/>
      <c r="AI937" s="10"/>
    </row>
    <row r="938" ht="15.75" customHeight="1">
      <c r="A938" s="10"/>
      <c r="B938" s="10"/>
      <c r="C938" s="10"/>
      <c r="D938" s="10"/>
      <c r="E938" s="10"/>
      <c r="F938" s="10"/>
      <c r="G938" s="10"/>
      <c r="H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  <c r="AH938" s="10"/>
      <c r="AI938" s="10"/>
    </row>
    <row r="939" ht="15.75" customHeight="1">
      <c r="A939" s="10"/>
      <c r="B939" s="10"/>
      <c r="C939" s="10"/>
      <c r="D939" s="10"/>
      <c r="E939" s="10"/>
      <c r="F939" s="10"/>
      <c r="G939" s="10"/>
      <c r="H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  <c r="AH939" s="10"/>
      <c r="AI939" s="10"/>
    </row>
    <row r="940" ht="15.75" customHeight="1">
      <c r="A940" s="10"/>
      <c r="B940" s="10"/>
      <c r="C940" s="10"/>
      <c r="D940" s="10"/>
      <c r="E940" s="10"/>
      <c r="F940" s="10"/>
      <c r="G940" s="10"/>
      <c r="H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  <c r="AH940" s="10"/>
      <c r="AI940" s="10"/>
    </row>
    <row r="941" ht="15.75" customHeight="1">
      <c r="A941" s="10"/>
      <c r="B941" s="10"/>
      <c r="C941" s="10"/>
      <c r="D941" s="10"/>
      <c r="E941" s="10"/>
      <c r="F941" s="10"/>
      <c r="G941" s="10"/>
      <c r="H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  <c r="AH941" s="10"/>
      <c r="AI941" s="10"/>
    </row>
    <row r="942" ht="15.75" customHeight="1">
      <c r="A942" s="10"/>
      <c r="B942" s="10"/>
      <c r="C942" s="10"/>
      <c r="D942" s="10"/>
      <c r="E942" s="10"/>
      <c r="F942" s="10"/>
      <c r="G942" s="10"/>
      <c r="H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  <c r="AH942" s="10"/>
      <c r="AI942" s="10"/>
    </row>
    <row r="943" ht="15.75" customHeight="1">
      <c r="A943" s="10"/>
      <c r="B943" s="10"/>
      <c r="C943" s="10"/>
      <c r="D943" s="10"/>
      <c r="E943" s="10"/>
      <c r="F943" s="10"/>
      <c r="G943" s="10"/>
      <c r="H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  <c r="AH943" s="10"/>
      <c r="AI943" s="10"/>
    </row>
    <row r="944" ht="15.75" customHeight="1">
      <c r="A944" s="10"/>
      <c r="B944" s="10"/>
      <c r="C944" s="10"/>
      <c r="D944" s="10"/>
      <c r="E944" s="10"/>
      <c r="F944" s="10"/>
      <c r="G944" s="10"/>
      <c r="H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  <c r="AH944" s="10"/>
      <c r="AI944" s="10"/>
    </row>
    <row r="945" ht="15.75" customHeight="1">
      <c r="A945" s="10"/>
      <c r="B945" s="10"/>
      <c r="C945" s="10"/>
      <c r="D945" s="10"/>
      <c r="E945" s="10"/>
      <c r="F945" s="10"/>
      <c r="G945" s="10"/>
      <c r="H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  <c r="AH945" s="10"/>
      <c r="AI945" s="10"/>
    </row>
    <row r="946" ht="15.75" customHeight="1">
      <c r="A946" s="10"/>
      <c r="B946" s="10"/>
      <c r="C946" s="10"/>
      <c r="D946" s="10"/>
      <c r="E946" s="10"/>
      <c r="F946" s="10"/>
      <c r="G946" s="10"/>
      <c r="H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  <c r="AH946" s="10"/>
      <c r="AI946" s="10"/>
    </row>
    <row r="947" ht="15.75" customHeight="1">
      <c r="A947" s="10"/>
      <c r="B947" s="10"/>
      <c r="C947" s="10"/>
      <c r="D947" s="10"/>
      <c r="E947" s="10"/>
      <c r="F947" s="10"/>
      <c r="G947" s="10"/>
      <c r="H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  <c r="AH947" s="10"/>
      <c r="AI947" s="10"/>
    </row>
    <row r="948" ht="15.75" customHeight="1">
      <c r="A948" s="10"/>
      <c r="B948" s="10"/>
      <c r="C948" s="10"/>
      <c r="D948" s="10"/>
      <c r="E948" s="10"/>
      <c r="F948" s="10"/>
      <c r="G948" s="10"/>
      <c r="H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  <c r="AH948" s="10"/>
      <c r="AI948" s="10"/>
    </row>
    <row r="949" ht="15.75" customHeight="1">
      <c r="A949" s="10"/>
      <c r="B949" s="10"/>
      <c r="C949" s="10"/>
      <c r="D949" s="10"/>
      <c r="E949" s="10"/>
      <c r="F949" s="10"/>
      <c r="G949" s="10"/>
      <c r="H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  <c r="AH949" s="10"/>
      <c r="AI949" s="10"/>
    </row>
    <row r="950" ht="15.75" customHeight="1">
      <c r="A950" s="10"/>
      <c r="B950" s="10"/>
      <c r="C950" s="10"/>
      <c r="D950" s="10"/>
      <c r="E950" s="10"/>
      <c r="F950" s="10"/>
      <c r="G950" s="10"/>
      <c r="H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  <c r="AH950" s="10"/>
      <c r="AI950" s="10"/>
    </row>
    <row r="951" ht="15.75" customHeight="1">
      <c r="A951" s="10"/>
      <c r="B951" s="10"/>
      <c r="C951" s="10"/>
      <c r="D951" s="10"/>
      <c r="E951" s="10"/>
      <c r="F951" s="10"/>
      <c r="G951" s="10"/>
      <c r="H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  <c r="AH951" s="10"/>
      <c r="AI951" s="10"/>
    </row>
    <row r="952" ht="15.75" customHeight="1">
      <c r="A952" s="10"/>
      <c r="B952" s="10"/>
      <c r="C952" s="10"/>
      <c r="D952" s="10"/>
      <c r="E952" s="10"/>
      <c r="F952" s="10"/>
      <c r="G952" s="10"/>
      <c r="H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  <c r="AH952" s="10"/>
      <c r="AI952" s="10"/>
    </row>
    <row r="953" ht="15.75" customHeight="1">
      <c r="A953" s="10"/>
      <c r="B953" s="10"/>
      <c r="C953" s="10"/>
      <c r="D953" s="10"/>
      <c r="E953" s="10"/>
      <c r="F953" s="10"/>
      <c r="G953" s="10"/>
      <c r="H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  <c r="AH953" s="10"/>
      <c r="AI953" s="10"/>
    </row>
    <row r="954" ht="15.75" customHeight="1">
      <c r="A954" s="10"/>
      <c r="B954" s="10"/>
      <c r="C954" s="10"/>
      <c r="D954" s="10"/>
      <c r="E954" s="10"/>
      <c r="F954" s="10"/>
      <c r="G954" s="10"/>
      <c r="H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  <c r="AH954" s="10"/>
      <c r="AI954" s="10"/>
    </row>
    <row r="955" ht="15.75" customHeight="1">
      <c r="A955" s="10"/>
      <c r="B955" s="10"/>
      <c r="C955" s="10"/>
      <c r="D955" s="10"/>
      <c r="E955" s="10"/>
      <c r="F955" s="10"/>
      <c r="G955" s="10"/>
      <c r="H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  <c r="AH955" s="10"/>
      <c r="AI955" s="10"/>
    </row>
    <row r="956" ht="15.75" customHeight="1">
      <c r="A956" s="10"/>
      <c r="B956" s="10"/>
      <c r="C956" s="10"/>
      <c r="D956" s="10"/>
      <c r="E956" s="10"/>
      <c r="F956" s="10"/>
      <c r="G956" s="10"/>
      <c r="H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  <c r="AH956" s="10"/>
      <c r="AI956" s="10"/>
    </row>
    <row r="957" ht="15.75" customHeight="1">
      <c r="A957" s="10"/>
      <c r="B957" s="10"/>
      <c r="C957" s="10"/>
      <c r="D957" s="10"/>
      <c r="E957" s="10"/>
      <c r="F957" s="10"/>
      <c r="G957" s="10"/>
      <c r="H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</row>
    <row r="958" ht="15.75" customHeight="1">
      <c r="A958" s="10"/>
      <c r="B958" s="10"/>
      <c r="C958" s="10"/>
      <c r="D958" s="10"/>
      <c r="E958" s="10"/>
      <c r="F958" s="10"/>
      <c r="G958" s="10"/>
      <c r="H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  <c r="AH958" s="10"/>
      <c r="AI958" s="10"/>
    </row>
    <row r="959" ht="15.75" customHeight="1">
      <c r="A959" s="10"/>
      <c r="B959" s="10"/>
      <c r="C959" s="10"/>
      <c r="D959" s="10"/>
      <c r="E959" s="10"/>
      <c r="F959" s="10"/>
      <c r="G959" s="10"/>
      <c r="H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  <c r="AH959" s="10"/>
      <c r="AI959" s="10"/>
    </row>
    <row r="960" ht="15.75" customHeight="1">
      <c r="A960" s="10"/>
      <c r="B960" s="10"/>
      <c r="C960" s="10"/>
      <c r="D960" s="10"/>
      <c r="E960" s="10"/>
      <c r="F960" s="10"/>
      <c r="G960" s="10"/>
      <c r="H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  <c r="AH960" s="10"/>
      <c r="AI960" s="10"/>
    </row>
    <row r="961" ht="15.75" customHeight="1">
      <c r="A961" s="10"/>
      <c r="B961" s="10"/>
      <c r="C961" s="10"/>
      <c r="D961" s="10"/>
      <c r="E961" s="10"/>
      <c r="F961" s="10"/>
      <c r="G961" s="10"/>
      <c r="H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  <c r="AH961" s="10"/>
      <c r="AI961" s="10"/>
    </row>
    <row r="962" ht="15.75" customHeight="1">
      <c r="A962" s="10"/>
      <c r="B962" s="10"/>
      <c r="C962" s="10"/>
      <c r="D962" s="10"/>
      <c r="E962" s="10"/>
      <c r="F962" s="10"/>
      <c r="G962" s="10"/>
      <c r="H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  <c r="AH962" s="10"/>
      <c r="AI962" s="10"/>
    </row>
    <row r="963" ht="15.75" customHeight="1">
      <c r="A963" s="10"/>
      <c r="B963" s="10"/>
      <c r="C963" s="10"/>
      <c r="D963" s="10"/>
      <c r="E963" s="10"/>
      <c r="F963" s="10"/>
      <c r="G963" s="10"/>
      <c r="H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  <c r="AH963" s="10"/>
      <c r="AI963" s="10"/>
    </row>
    <row r="964" ht="15.75" customHeight="1">
      <c r="A964" s="10"/>
      <c r="B964" s="10"/>
      <c r="C964" s="10"/>
      <c r="D964" s="10"/>
      <c r="E964" s="10"/>
      <c r="F964" s="10"/>
      <c r="G964" s="10"/>
      <c r="H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  <c r="AH964" s="10"/>
      <c r="AI964" s="10"/>
    </row>
    <row r="965" ht="15.75" customHeight="1">
      <c r="A965" s="10"/>
      <c r="B965" s="10"/>
      <c r="C965" s="10"/>
      <c r="D965" s="10"/>
      <c r="E965" s="10"/>
      <c r="F965" s="10"/>
      <c r="G965" s="10"/>
      <c r="H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  <c r="AH965" s="10"/>
      <c r="AI965" s="10"/>
    </row>
    <row r="966" ht="15.75" customHeight="1">
      <c r="A966" s="10"/>
      <c r="B966" s="10"/>
      <c r="C966" s="10"/>
      <c r="D966" s="10"/>
      <c r="E966" s="10"/>
      <c r="F966" s="10"/>
      <c r="G966" s="10"/>
      <c r="H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  <c r="AH966" s="10"/>
      <c r="AI966" s="10"/>
    </row>
    <row r="967" ht="15.75" customHeight="1">
      <c r="A967" s="10"/>
      <c r="B967" s="10"/>
      <c r="C967" s="10"/>
      <c r="D967" s="10"/>
      <c r="E967" s="10"/>
      <c r="F967" s="10"/>
      <c r="G967" s="10"/>
      <c r="H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  <c r="AH967" s="10"/>
      <c r="AI967" s="10"/>
    </row>
    <row r="968" ht="15.75" customHeight="1">
      <c r="A968" s="10"/>
      <c r="B968" s="10"/>
      <c r="C968" s="10"/>
      <c r="D968" s="10"/>
      <c r="E968" s="10"/>
      <c r="F968" s="10"/>
      <c r="G968" s="10"/>
      <c r="H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  <c r="AH968" s="10"/>
      <c r="AI968" s="10"/>
    </row>
    <row r="969" ht="15.75" customHeight="1">
      <c r="A969" s="10"/>
      <c r="B969" s="10"/>
      <c r="C969" s="10"/>
      <c r="D969" s="10"/>
      <c r="E969" s="10"/>
      <c r="F969" s="10"/>
      <c r="G969" s="10"/>
      <c r="H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  <c r="AH969" s="10"/>
      <c r="AI969" s="10"/>
    </row>
    <row r="970" ht="15.75" customHeight="1">
      <c r="A970" s="10"/>
      <c r="B970" s="10"/>
      <c r="C970" s="10"/>
      <c r="D970" s="10"/>
      <c r="E970" s="10"/>
      <c r="F970" s="10"/>
      <c r="G970" s="10"/>
      <c r="H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  <c r="AH970" s="10"/>
      <c r="AI970" s="10"/>
    </row>
    <row r="971" ht="15.75" customHeight="1">
      <c r="A971" s="10"/>
      <c r="B971" s="10"/>
      <c r="C971" s="10"/>
      <c r="D971" s="10"/>
      <c r="E971" s="10"/>
      <c r="F971" s="10"/>
      <c r="G971" s="10"/>
      <c r="H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  <c r="AH971" s="10"/>
      <c r="AI971" s="10"/>
    </row>
    <row r="972" ht="15.75" customHeight="1">
      <c r="A972" s="10"/>
      <c r="B972" s="10"/>
      <c r="C972" s="10"/>
      <c r="D972" s="10"/>
      <c r="E972" s="10"/>
      <c r="F972" s="10"/>
      <c r="G972" s="10"/>
      <c r="H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  <c r="AH972" s="10"/>
      <c r="AI972" s="10"/>
    </row>
    <row r="973" ht="15.75" customHeight="1">
      <c r="A973" s="10"/>
      <c r="B973" s="10"/>
      <c r="C973" s="10"/>
      <c r="D973" s="10"/>
      <c r="E973" s="10"/>
      <c r="F973" s="10"/>
      <c r="G973" s="10"/>
      <c r="H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  <c r="AH973" s="10"/>
      <c r="AI973" s="10"/>
    </row>
    <row r="974" ht="15.75" customHeight="1">
      <c r="A974" s="10"/>
      <c r="B974" s="10"/>
      <c r="C974" s="10"/>
      <c r="D974" s="10"/>
      <c r="E974" s="10"/>
      <c r="F974" s="10"/>
      <c r="G974" s="10"/>
      <c r="H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  <c r="AH974" s="10"/>
      <c r="AI974" s="10"/>
    </row>
    <row r="975" ht="15.75" customHeight="1">
      <c r="A975" s="10"/>
      <c r="B975" s="10"/>
      <c r="C975" s="10"/>
      <c r="D975" s="10"/>
      <c r="E975" s="10"/>
      <c r="F975" s="10"/>
      <c r="G975" s="10"/>
      <c r="H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  <c r="AH975" s="10"/>
      <c r="AI975" s="10"/>
    </row>
    <row r="976" ht="15.75" customHeight="1">
      <c r="A976" s="10"/>
      <c r="B976" s="10"/>
      <c r="C976" s="10"/>
      <c r="D976" s="10"/>
      <c r="E976" s="10"/>
      <c r="F976" s="10"/>
      <c r="G976" s="10"/>
      <c r="H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  <c r="AH976" s="10"/>
      <c r="AI976" s="10"/>
    </row>
    <row r="977" ht="15.75" customHeight="1">
      <c r="A977" s="10"/>
      <c r="B977" s="10"/>
      <c r="C977" s="10"/>
      <c r="D977" s="10"/>
      <c r="E977" s="10"/>
      <c r="F977" s="10"/>
      <c r="G977" s="10"/>
      <c r="H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  <c r="AH977" s="10"/>
      <c r="AI977" s="10"/>
    </row>
    <row r="978" ht="15.75" customHeight="1">
      <c r="A978" s="10"/>
      <c r="B978" s="10"/>
      <c r="C978" s="10"/>
      <c r="D978" s="10"/>
      <c r="E978" s="10"/>
      <c r="F978" s="10"/>
      <c r="G978" s="10"/>
      <c r="H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  <c r="AH978" s="10"/>
      <c r="AI978" s="10"/>
    </row>
    <row r="979" ht="15.75" customHeight="1">
      <c r="A979" s="10"/>
      <c r="B979" s="10"/>
      <c r="C979" s="10"/>
      <c r="D979" s="10"/>
      <c r="E979" s="10"/>
      <c r="F979" s="10"/>
      <c r="G979" s="10"/>
      <c r="H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  <c r="AH979" s="10"/>
      <c r="AI979" s="10"/>
    </row>
    <row r="980" ht="15.75" customHeight="1">
      <c r="A980" s="10"/>
      <c r="B980" s="10"/>
      <c r="C980" s="10"/>
      <c r="D980" s="10"/>
      <c r="E980" s="10"/>
      <c r="F980" s="10"/>
      <c r="G980" s="10"/>
      <c r="H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  <c r="AH980" s="10"/>
      <c r="AI980" s="10"/>
    </row>
    <row r="981" ht="15.75" customHeight="1">
      <c r="A981" s="10"/>
      <c r="B981" s="10"/>
      <c r="C981" s="10"/>
      <c r="D981" s="10"/>
      <c r="E981" s="10"/>
      <c r="F981" s="10"/>
      <c r="G981" s="10"/>
      <c r="H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  <c r="AH981" s="10"/>
      <c r="AI981" s="10"/>
    </row>
    <row r="982" ht="15.75" customHeight="1">
      <c r="A982" s="10"/>
      <c r="B982" s="10"/>
      <c r="C982" s="10"/>
      <c r="D982" s="10"/>
      <c r="E982" s="10"/>
      <c r="F982" s="10"/>
      <c r="G982" s="10"/>
      <c r="H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  <c r="AH982" s="10"/>
      <c r="AI982" s="10"/>
    </row>
    <row r="983" ht="15.75" customHeight="1">
      <c r="A983" s="10"/>
      <c r="B983" s="10"/>
      <c r="C983" s="10"/>
      <c r="D983" s="10"/>
      <c r="E983" s="10"/>
      <c r="F983" s="10"/>
      <c r="G983" s="10"/>
      <c r="H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  <c r="AH983" s="10"/>
      <c r="AI983" s="10"/>
    </row>
    <row r="984" ht="15.75" customHeight="1">
      <c r="A984" s="10"/>
      <c r="B984" s="10"/>
      <c r="C984" s="10"/>
      <c r="D984" s="10"/>
      <c r="E984" s="10"/>
      <c r="F984" s="10"/>
      <c r="G984" s="10"/>
      <c r="H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  <c r="AH984" s="10"/>
      <c r="AI984" s="10"/>
    </row>
    <row r="985" ht="15.75" customHeight="1">
      <c r="A985" s="10"/>
      <c r="B985" s="10"/>
      <c r="C985" s="10"/>
      <c r="D985" s="10"/>
      <c r="E985" s="10"/>
      <c r="F985" s="10"/>
      <c r="G985" s="10"/>
      <c r="H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  <c r="AH985" s="10"/>
      <c r="AI985" s="10"/>
    </row>
    <row r="986" ht="15.75" customHeight="1">
      <c r="A986" s="10"/>
      <c r="B986" s="10"/>
      <c r="C986" s="10"/>
      <c r="D986" s="10"/>
      <c r="E986" s="10"/>
      <c r="F986" s="10"/>
      <c r="G986" s="10"/>
      <c r="H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  <c r="AH986" s="10"/>
      <c r="AI986" s="10"/>
    </row>
    <row r="987" ht="15.75" customHeight="1">
      <c r="A987" s="10"/>
      <c r="B987" s="10"/>
      <c r="C987" s="10"/>
      <c r="D987" s="10"/>
      <c r="E987" s="10"/>
      <c r="F987" s="10"/>
      <c r="G987" s="10"/>
      <c r="H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  <c r="AH987" s="10"/>
      <c r="AI987" s="10"/>
    </row>
    <row r="988" ht="15.75" customHeight="1">
      <c r="A988" s="10"/>
      <c r="B988" s="10"/>
      <c r="C988" s="10"/>
      <c r="D988" s="10"/>
      <c r="E988" s="10"/>
      <c r="F988" s="10"/>
      <c r="G988" s="10"/>
      <c r="H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  <c r="AH988" s="10"/>
      <c r="AI988" s="10"/>
    </row>
    <row r="989" ht="15.75" customHeight="1">
      <c r="A989" s="10"/>
      <c r="B989" s="10"/>
      <c r="C989" s="10"/>
      <c r="D989" s="10"/>
      <c r="E989" s="10"/>
      <c r="F989" s="10"/>
      <c r="G989" s="10"/>
      <c r="H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  <c r="AH989" s="10"/>
      <c r="AI989" s="10"/>
    </row>
    <row r="990" ht="15.75" customHeight="1">
      <c r="A990" s="10"/>
      <c r="B990" s="10"/>
      <c r="C990" s="10"/>
      <c r="D990" s="10"/>
      <c r="E990" s="10"/>
      <c r="F990" s="10"/>
      <c r="G990" s="10"/>
      <c r="H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  <c r="AH990" s="10"/>
      <c r="AI990" s="10"/>
    </row>
    <row r="991" ht="15.75" customHeight="1">
      <c r="A991" s="10"/>
      <c r="B991" s="10"/>
      <c r="C991" s="10"/>
      <c r="D991" s="10"/>
      <c r="E991" s="10"/>
      <c r="F991" s="10"/>
      <c r="G991" s="10"/>
      <c r="H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  <c r="AH991" s="10"/>
      <c r="AI991" s="10"/>
    </row>
    <row r="992" ht="15.75" customHeight="1">
      <c r="A992" s="10"/>
      <c r="B992" s="10"/>
      <c r="C992" s="10"/>
      <c r="D992" s="10"/>
      <c r="E992" s="10"/>
      <c r="F992" s="10"/>
      <c r="G992" s="10"/>
      <c r="H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  <c r="AH992" s="10"/>
      <c r="AI992" s="10"/>
    </row>
    <row r="993" ht="15.75" customHeight="1">
      <c r="A993" s="10"/>
      <c r="B993" s="10"/>
      <c r="C993" s="10"/>
      <c r="D993" s="10"/>
      <c r="E993" s="10"/>
      <c r="F993" s="10"/>
      <c r="G993" s="10"/>
      <c r="H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  <c r="AH993" s="10"/>
      <c r="AI993" s="10"/>
    </row>
    <row r="994" ht="15.75" customHeight="1">
      <c r="A994" s="10"/>
      <c r="B994" s="10"/>
      <c r="C994" s="10"/>
      <c r="D994" s="10"/>
      <c r="E994" s="10"/>
      <c r="F994" s="10"/>
      <c r="G994" s="10"/>
      <c r="H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  <c r="AH994" s="10"/>
      <c r="AI994" s="10"/>
    </row>
    <row r="995" ht="15.75" customHeight="1">
      <c r="A995" s="10"/>
      <c r="B995" s="10"/>
      <c r="C995" s="10"/>
      <c r="D995" s="10"/>
      <c r="E995" s="10"/>
      <c r="F995" s="10"/>
      <c r="G995" s="10"/>
      <c r="H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  <c r="AH995" s="10"/>
      <c r="AI995" s="10"/>
    </row>
    <row r="996" ht="15.75" customHeight="1">
      <c r="A996" s="10"/>
      <c r="B996" s="10"/>
      <c r="C996" s="10"/>
      <c r="D996" s="10"/>
      <c r="E996" s="10"/>
      <c r="F996" s="10"/>
      <c r="G996" s="10"/>
      <c r="H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  <c r="AH996" s="10"/>
      <c r="AI996" s="10"/>
    </row>
    <row r="997" ht="15.75" customHeight="1">
      <c r="A997" s="10"/>
      <c r="B997" s="10"/>
      <c r="C997" s="10"/>
      <c r="D997" s="10"/>
      <c r="E997" s="10"/>
      <c r="F997" s="10"/>
      <c r="G997" s="10"/>
      <c r="H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  <c r="AE997" s="10"/>
      <c r="AF997" s="10"/>
      <c r="AG997" s="10"/>
      <c r="AH997" s="10"/>
      <c r="AI997" s="10"/>
    </row>
    <row r="998" ht="15.75" customHeight="1">
      <c r="A998" s="10"/>
      <c r="B998" s="10"/>
      <c r="C998" s="10"/>
      <c r="D998" s="10"/>
      <c r="E998" s="10"/>
      <c r="F998" s="10"/>
      <c r="G998" s="10"/>
      <c r="H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  <c r="AE998" s="10"/>
      <c r="AF998" s="10"/>
      <c r="AG998" s="10"/>
      <c r="AH998" s="10"/>
      <c r="AI998" s="10"/>
    </row>
    <row r="999" ht="15.75" customHeight="1">
      <c r="A999" s="10"/>
      <c r="B999" s="10"/>
      <c r="C999" s="10"/>
      <c r="D999" s="10"/>
      <c r="E999" s="10"/>
      <c r="F999" s="10"/>
      <c r="G999" s="10"/>
      <c r="H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  <c r="AE999" s="10"/>
      <c r="AF999" s="10"/>
      <c r="AG999" s="10"/>
      <c r="AH999" s="10"/>
      <c r="AI999" s="10"/>
    </row>
    <row r="1000" ht="15.75" customHeight="1">
      <c r="A1000" s="10"/>
      <c r="B1000" s="10"/>
      <c r="C1000" s="10"/>
      <c r="D1000" s="10"/>
      <c r="E1000" s="10"/>
      <c r="F1000" s="10"/>
      <c r="G1000" s="10"/>
      <c r="H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  <c r="AE1000" s="10"/>
      <c r="AF1000" s="10"/>
      <c r="AG1000" s="10"/>
      <c r="AH1000" s="10"/>
      <c r="AI1000" s="10"/>
    </row>
  </sheetData>
  <mergeCells count="4">
    <mergeCell ref="A1:H1"/>
    <mergeCell ref="A2:H2"/>
    <mergeCell ref="A10:H10"/>
    <mergeCell ref="A11:H11"/>
  </mergeCells>
  <printOptions/>
  <pageMargins bottom="1.0" footer="0.0" header="0.0" left="0.75" right="0.75" top="1.0"/>
  <pageSetup orientation="landscape"/>
  <drawing r:id="rId1"/>
</worksheet>
</file>