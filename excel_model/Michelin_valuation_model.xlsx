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6"/>
  </bookViews>
  <sheets>
    <sheet r:id="rId1" sheetId="1" name="Sources"/>
    <sheet r:id="rId2" sheetId="2" name="Historical"/>
    <sheet r:id="rId3" sheetId="3" name="Forecast"/>
    <sheet r:id="rId4" sheetId="4" name="Comps"/>
    <sheet r:id="rId5" sheetId="5" name="WACC"/>
    <sheet r:id="rId6" sheetId="6" name="DCF"/>
    <sheet r:id="rId7" sheetId="7" name="Sensitivity"/>
    <sheet r:id="rId8" sheetId="8" name="Football_Field"/>
  </sheets>
  <calcPr fullCalcOnLoad="1"/>
</workbook>
</file>

<file path=xl/sharedStrings.xml><?xml version="1.0" encoding="utf-8"?>
<sst xmlns="http://schemas.openxmlformats.org/spreadsheetml/2006/main" count="199" uniqueCount="164">
  <si>
    <t>Football field</t>
  </si>
  <si>
    <t>Synthese des valorisations par action</t>
  </si>
  <si>
    <t>Methode</t>
  </si>
  <si>
    <t>Bas</t>
  </si>
  <si>
    <t>Central</t>
  </si>
  <si>
    <t>Haut</t>
  </si>
  <si>
    <t>Commentaire</t>
  </si>
  <si>
    <t>Cours actuel</t>
  </si>
  <si>
    <t>Reference marche StockAnalysis, 20 avril 2026</t>
  </si>
  <si>
    <t>Comparables</t>
  </si>
  <si>
    <t>Application quartiles / mediane aux metrics 2026E</t>
  </si>
  <si>
    <t>DCF</t>
  </si>
  <si>
    <t>Sensibilite WACC et croissance terminale</t>
  </si>
  <si>
    <t>Objectif retenu</t>
  </si>
  <si>
    <t>Moyenne du DCF central et des comparables centraux</t>
  </si>
  <si>
    <t>Sensibilite DCF</t>
  </si>
  <si>
    <t>Valeur par action selon WACC et croissance terminale</t>
  </si>
  <si>
    <t>WACC \ g</t>
  </si>
  <si>
    <t>Valorisation DCF</t>
  </si>
  <si>
    <t>FCFF 2026E-2030E + valeur terminale par croissance perpetuelle</t>
  </si>
  <si>
    <t>Chiffre d'affaires</t>
  </si>
  <si>
    <t>EBIT secteurs</t>
  </si>
  <si>
    <t>NOPAT</t>
  </si>
  <si>
    <t>D&amp;A</t>
  </si>
  <si>
    <t>Capex</t>
  </si>
  <si>
    <t>Variation BFR</t>
  </si>
  <si>
    <t>FCFF</t>
  </si>
  <si>
    <t>Facteur d'actualisation</t>
  </si>
  <si>
    <t>PV FCFF</t>
  </si>
  <si>
    <t>Synthese</t>
  </si>
  <si>
    <t>PV des FCFF explicites</t>
  </si>
  <si>
    <t>Valeur terminale</t>
  </si>
  <si>
    <t>PV valeur terminale</t>
  </si>
  <si>
    <t>Enterprise value DCF</t>
  </si>
  <si>
    <t>Dette nette</t>
  </si>
  <si>
    <t>Equity value DCF</t>
  </si>
  <si>
    <t>Actions en circulation</t>
  </si>
  <si>
    <t>Valeur par action DCF</t>
  </si>
  <si>
    <t>Potentiel DCF</t>
  </si>
  <si>
    <t>Calcul du WACC</t>
  </si>
  <si>
    <t>Approche CAPM et structure de capital de marche</t>
  </si>
  <si>
    <t>Input</t>
  </si>
  <si>
    <t>Valeur</t>
  </si>
  <si>
    <t>Unite</t>
  </si>
  <si>
    <t>Cours Michelin</t>
  </si>
  <si>
    <t>EUR/action</t>
  </si>
  <si>
    <t>m</t>
  </si>
  <si>
    <t>Capitalisation boursiere</t>
  </si>
  <si>
    <t>EURm</t>
  </si>
  <si>
    <t>Enterprise value de marche</t>
  </si>
  <si>
    <t>Taux sans risque France 10 ans</t>
  </si>
  <si>
    <t>%</t>
  </si>
  <si>
    <t>Prime de risque actions Eurozone</t>
  </si>
  <si>
    <t>Beta Michelin</t>
  </si>
  <si>
    <t>x</t>
  </si>
  <si>
    <t>Cout des fonds propres</t>
  </si>
  <si>
    <t>Cout de la dette avant impots</t>
  </si>
  <si>
    <t>Taux d'impot effectif</t>
  </si>
  <si>
    <t>Cout de la dette apres impots</t>
  </si>
  <si>
    <t>Poids fonds propres</t>
  </si>
  <si>
    <t>Poids dette nette</t>
  </si>
  <si>
    <t>WACC retenu</t>
  </si>
  <si>
    <t>Croissance terminale</t>
  </si>
  <si>
    <t>Comparables boursiers</t>
  </si>
  <si>
    <t>Multiples de marche ponctuels au 20 avril 2026 ou derniere cloture disponible</t>
  </si>
  <si>
    <t>Societe</t>
  </si>
  <si>
    <t>Ticker</t>
  </si>
  <si>
    <t>Pays</t>
  </si>
  <si>
    <t>Justification</t>
  </si>
  <si>
    <t>EV/CA</t>
  </si>
  <si>
    <t>EV/EBITDA</t>
  </si>
  <si>
    <t>EV/EBIT</t>
  </si>
  <si>
    <t>Bridgestone</t>
  </si>
  <si>
    <t>TYO:5108</t>
  </si>
  <si>
    <t>Japon</t>
  </si>
  <si>
    <t>Leader mondial pneus, exposition replacement/OE comparable</t>
  </si>
  <si>
    <t>Goodyear</t>
  </si>
  <si>
    <t>NASDAQ:GT</t>
  </si>
  <si>
    <t>Etats-Unis</t>
  </si>
  <si>
    <t>Pneumatiques purs, mais levier et marge faible</t>
  </si>
  <si>
    <t>Continental</t>
  </si>
  <si>
    <t>ETR:CON</t>
  </si>
  <si>
    <t>Allemagne</t>
  </si>
  <si>
    <t>Equipementier auto diversifie avec activite pneus</t>
  </si>
  <si>
    <t>Pirelli</t>
  </si>
  <si>
    <t>BIT:PIRC</t>
  </si>
  <si>
    <t>Italie</t>
  </si>
  <si>
    <t>Pneus premium, forte proximite avec Michelin en mix</t>
  </si>
  <si>
    <t>Yokohama Rubber</t>
  </si>
  <si>
    <t>TYO:5101</t>
  </si>
  <si>
    <t>Pneus et caoutchouc industriel, exposition Asie</t>
  </si>
  <si>
    <t>Hankook Tire</t>
  </si>
  <si>
    <t>KRX:161390</t>
  </si>
  <si>
    <t>Coree du Sud</t>
  </si>
  <si>
    <t>Pneus mondiaux, positionnement valeur/premium</t>
  </si>
  <si>
    <t>Statistique</t>
  </si>
  <si>
    <t>Quartile bas</t>
  </si>
  <si>
    <t>Mediane</t>
  </si>
  <si>
    <t>Quartile haut</t>
  </si>
  <si>
    <t>Application 2026E</t>
  </si>
  <si>
    <t>Multiple bas</t>
  </si>
  <si>
    <t>Multiple median</t>
  </si>
  <si>
    <t>Multiple haut</t>
  </si>
  <si>
    <t>Prix bas</t>
  </si>
  <si>
    <t>Prix median</t>
  </si>
  <si>
    <t>Prix haut</t>
  </si>
  <si>
    <t>EV / CA</t>
  </si>
  <si>
    <t>EV / EBITDA</t>
  </si>
  <si>
    <t>EV / EBIT</t>
  </si>
  <si>
    <t>Projection 2026E-2030E</t>
  </si>
  <si>
    <t>Scenario central: reprise graduelle des volumes, mix premium et discipline cash</t>
  </si>
  <si>
    <t>Croissance CA</t>
  </si>
  <si>
    <t>Marge EBITDA</t>
  </si>
  <si>
    <t>EBITDA</t>
  </si>
  <si>
    <t>Marge EBIT secteurs</t>
  </si>
  <si>
    <t>Taux d'impot</t>
  </si>
  <si>
    <t>D&amp;A / CA</t>
  </si>
  <si>
    <t>Capex / CA</t>
  </si>
  <si>
    <t>Historique financier Michelin</t>
  </si>
  <si>
    <t>Source: fichier officiel Michelin key figures 2020-2025</t>
  </si>
  <si>
    <t>Segment EBITDA</t>
  </si>
  <si>
    <t>Resultat operationnel des secteurs</t>
  </si>
  <si>
    <t>Marge operationnelle secteurs</t>
  </si>
  <si>
    <t>Resultat operationnel</t>
  </si>
  <si>
    <t>Resultat net</t>
  </si>
  <si>
    <t>Marge nette</t>
  </si>
  <si>
    <t>Cash-flow operationnel</t>
  </si>
  <si>
    <t>Free cash-flow</t>
  </si>
  <si>
    <t>FCF / CA</t>
  </si>
  <si>
    <t>Dette nette / EBITDA</t>
  </si>
  <si>
    <t>Sources et conventions</t>
  </si>
  <si>
    <t>Projet finance Michelin, donnees collectees au 20 avril 2026</t>
  </si>
  <si>
    <t>Source</t>
  </si>
  <si>
    <t>Donnee utilisee</t>
  </si>
  <si>
    <t>Lien / fichier</t>
  </si>
  <si>
    <t>Michelin</t>
  </si>
  <si>
    <t>Financial information at December 31, 2025</t>
  </si>
  <si>
    <t>https://www.michelin.com/en/publications/group/financial-information-december-31-2025</t>
  </si>
  <si>
    <t>All Michelin key figures 2020-2025</t>
  </si>
  <si>
    <t>sources/michelin_key_figures_2020_2025.xlsx</t>
  </si>
  <si>
    <t>2025 Annual Results Guide</t>
  </si>
  <si>
    <t>sources/michelin_2025_annual_results_guide.pdf</t>
  </si>
  <si>
    <t>2025 Universal Registration Document</t>
  </si>
  <si>
    <t>sources/michelin_2025_urd.pdf</t>
  </si>
  <si>
    <t>Grand View Research</t>
  </si>
  <si>
    <t>Global tires market 2025-2030</t>
  </si>
  <si>
    <t>https://www.grandviewresearch.com/industry-analysis/tires-market-report</t>
  </si>
  <si>
    <t>StockAnalysis</t>
  </si>
  <si>
    <t>Michelin and peer valuation statistics</t>
  </si>
  <si>
    <t>https://stockanalysis.com/quote/epa/ML/statistics/</t>
  </si>
  <si>
    <t>CountryEconomy</t>
  </si>
  <si>
    <t>France 10-year bond yield</t>
  </si>
  <si>
    <t>https://countryeconomy.com/bonds/france</t>
  </si>
  <si>
    <t>Kroll</t>
  </si>
  <si>
    <t>Eurozone equity risk premium</t>
  </si>
  <si>
    <t>https://www.kroll.com/en/reports/cost-of-capital/recommended-eurozone-equity-risk-premium-corresponding-risk-free-rates</t>
  </si>
  <si>
    <t>Convention</t>
  </si>
  <si>
    <t>Unite des etats financiers</t>
  </si>
  <si>
    <t>EUR millions sauf indication contraire</t>
  </si>
  <si>
    <t>Cours de reference Michelin</t>
  </si>
  <si>
    <t>Actions diluees / en circulation</t>
  </si>
  <si>
    <t>684.74m</t>
  </si>
  <si>
    <t>Recommandation retenue</t>
  </si>
  <si>
    <t>Acheter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</si>
</sst>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3">
    <numFmt numFmtId="164" formatCode="#,##0.0"/>
    <numFmt numFmtId="165" formatCode="#,##0.0%"/>
    <numFmt numFmtId="166" formatCode="#,##0.000"/>
  </numFmts>
  <fonts count="6" x14ac:knownFonts="1">
    <font>
      <sz val="11"/>
      <color theme="1"/>
      <name val="Calibri"/>
      <family val="2"/>
      <scheme val="minor"/>
    </font>
    <font>
      <sz val="16"/>
      <color rgb="FF1f4e5f"/>
      <name val="Calibri"/>
      <family val="2"/>
    </font>
    <font>
      <sz val="11"/>
      <color theme="1"/>
      <name val="Calibri"/>
      <family val="2"/>
    </font>
    <font>
      <sz val="10"/>
      <color rgb="FF6b7280"/>
      <name val="Calibri"/>
      <family val="2"/>
    </font>
    <font>
      <sz val="11"/>
      <color rgb="FFffffff"/>
      <name val="Calibri"/>
      <family val="2"/>
    </font>
    <font>
      <sz val="11"/>
      <color rgb="FF20252b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6f8fa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ee3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d9dee3"/>
      </bottom>
      <diagonal/>
    </border>
  </borders>
  <cellStyleXfs count="1">
    <xf numFmtId="0" fontId="0" fillId="0" borderId="0"/>
  </cellStyleXfs>
  <cellXfs count="27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4" applyNumberFormat="1" borderId="1" applyBorder="1" fontId="2" applyFont="1" fillId="0" applyAlignment="1">
      <alignment horizontal="left" wrapText="1"/>
    </xf>
    <xf xfId="0" numFmtId="0" borderId="1" applyBorder="1" fontId="2" applyFont="1" fillId="0" applyAlignment="1">
      <alignment horizontal="left" wrapText="1"/>
    </xf>
    <xf xfId="0" numFmtId="0" borderId="1" applyBorder="1" fontId="3" applyFont="1" fillId="0" applyAlignment="1">
      <alignment horizontal="left" wrapText="1"/>
    </xf>
    <xf xfId="0" numFmtId="0" borderId="2" applyBorder="1" fontId="4" applyFont="1" fillId="2" applyFill="1" applyAlignment="1">
      <alignment horizontal="left" wrapText="1"/>
    </xf>
    <xf xfId="0" numFmtId="4" applyNumberFormat="1" borderId="2" applyBorder="1" fontId="4" applyFont="1" fillId="2" applyFill="1" applyAlignment="1">
      <alignment horizontal="left" wrapText="1"/>
    </xf>
    <xf xfId="0" numFmtId="164" applyNumberFormat="1" borderId="1" applyBorder="1" fontId="2" applyFont="1" fillId="0" applyAlignment="1">
      <alignment horizontal="right" wrapText="1"/>
    </xf>
    <xf xfId="0" numFmtId="4" applyNumberFormat="1" borderId="1" applyBorder="1" fontId="2" applyFont="1" fillId="0" applyAlignment="1">
      <alignment horizontal="right" wrapText="1"/>
    </xf>
    <xf xfId="0" numFmtId="0" borderId="0" fontId="0" fillId="0" applyAlignment="1">
      <alignment horizontal="general" wrapText="1"/>
    </xf>
    <xf xfId="0" numFmtId="4" applyNumberFormat="1" borderId="0" fontId="0" fillId="0" applyAlignment="1">
      <alignment horizontal="right" wrapText="1"/>
    </xf>
    <xf xfId="0" numFmtId="4" applyNumberFormat="1" borderId="1" applyBorder="1" fontId="1" applyFont="1" fillId="0" applyAlignment="1">
      <alignment horizontal="left" wrapText="1"/>
    </xf>
    <xf xfId="0" numFmtId="4" applyNumberFormat="1" borderId="1" applyBorder="1" fontId="3" applyFont="1" fillId="0" applyAlignment="1">
      <alignment horizontal="left" wrapText="1"/>
    </xf>
    <xf xfId="0" numFmtId="165" applyNumberFormat="1" borderId="2" applyBorder="1" fontId="4" applyFont="1" fillId="2" applyFill="1" applyAlignment="1">
      <alignment horizontal="right" wrapText="1"/>
    </xf>
    <xf xfId="0" numFmtId="165" applyNumberFormat="1" borderId="1" applyBorder="1" fontId="2" applyFont="1" fillId="0" applyAlignment="1">
      <alignment horizontal="right" wrapText="1"/>
    </xf>
    <xf xfId="0" numFmtId="165" applyNumberFormat="1" borderId="1" applyBorder="1" fontId="2" applyFont="1" fillId="0" applyAlignment="1">
      <alignment horizontal="left" wrapText="1"/>
    </xf>
    <xf xfId="0" numFmtId="3" applyNumberFormat="1" borderId="1" applyBorder="1" fontId="2" applyFont="1" fillId="0" applyAlignment="1">
      <alignment horizontal="left" wrapText="1"/>
    </xf>
    <xf xfId="0" numFmtId="165" applyNumberFormat="1" borderId="2" applyBorder="1" fontId="4" applyFont="1" fillId="2" applyFill="1" applyAlignment="1">
      <alignment horizontal="left" wrapText="1"/>
    </xf>
    <xf xfId="0" numFmtId="3" applyNumberFormat="1" borderId="2" applyBorder="1" fontId="4" applyFont="1" fillId="2" applyFill="1" applyAlignment="1">
      <alignment horizontal="left" wrapText="1"/>
    </xf>
    <xf xfId="0" numFmtId="0" borderId="2" applyBorder="1" fontId="5" applyFont="1" fillId="3" applyFill="1" applyAlignment="1">
      <alignment horizontal="left" wrapText="1"/>
    </xf>
    <xf xfId="0" numFmtId="3" applyNumberFormat="1" borderId="1" applyBorder="1" fontId="2" applyFont="1" fillId="0" applyAlignment="1">
      <alignment horizontal="right" wrapText="1"/>
    </xf>
    <xf xfId="0" numFmtId="166" applyNumberFormat="1" borderId="1" applyBorder="1" fontId="2" applyFont="1" fillId="0" applyAlignment="1">
      <alignment horizontal="right" wrapText="1"/>
    </xf>
    <xf xfId="0" numFmtId="165" applyNumberFormat="1" borderId="0" fontId="0" fillId="0" applyAlignment="1">
      <alignment horizontal="right" wrapText="1"/>
    </xf>
    <xf xfId="0" numFmtId="3" applyNumberFormat="1" borderId="0" fontId="0" fillId="0" applyAlignment="1">
      <alignment horizontal="general" wrapText="1"/>
    </xf>
    <xf xfId="0" numFmtId="3" applyNumberFormat="1" borderId="0" fontId="0" fillId="0" applyAlignment="1">
      <alignment horizontal="right" wrapText="1"/>
    </xf>
    <xf xfId="0" numFmtId="4" applyNumberFormat="1" borderId="0" fontId="0" fillId="0" applyAlignment="1">
      <alignment horizontal="general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sharedStrings.xml" Type="http://schemas.openxmlformats.org/officeDocument/2006/relationships/sharedStrings" Id="rId9"/><Relationship Target="styles.xml" Type="http://schemas.openxmlformats.org/officeDocument/2006/relationships/styles" Id="rId10"/><Relationship Target="theme/theme1.xml" Type="http://schemas.openxmlformats.org/officeDocument/2006/relationships/theme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18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0" width="34.005" customWidth="1" bestFit="1"/>
    <col min="2" max="2" style="26" width="16.005" customWidth="1" bestFit="1"/>
    <col min="3" max="3" style="10" width="16.005" customWidth="1" bestFit="1"/>
  </cols>
  <sheetData>
    <row x14ac:dyDescent="0.25" r="1" customHeight="1" ht="17.25" customFormat="1" s="1">
      <c r="A1" s="2" t="s">
        <v>130</v>
      </c>
      <c r="B1" s="3"/>
      <c r="C1" s="4"/>
    </row>
    <row x14ac:dyDescent="0.25" r="2" customHeight="1" ht="17.25" customFormat="1" s="1">
      <c r="A2" s="5" t="s">
        <v>131</v>
      </c>
      <c r="B2" s="3"/>
      <c r="C2" s="4"/>
    </row>
    <row x14ac:dyDescent="0.25" r="3" customHeight="1" ht="17.25" customFormat="1" s="1">
      <c r="A3" s="6"/>
      <c r="B3" s="7"/>
      <c r="C3" s="6"/>
    </row>
    <row x14ac:dyDescent="0.25" r="4" customHeight="1" ht="17.25" customFormat="1" s="1">
      <c r="A4" s="4" t="s">
        <v>132</v>
      </c>
      <c r="B4" s="3" t="s">
        <v>133</v>
      </c>
      <c r="C4" s="4" t="s">
        <v>134</v>
      </c>
    </row>
    <row x14ac:dyDescent="0.25" r="5" customHeight="1" ht="84.75" customFormat="1" s="1">
      <c r="A5" s="4" t="s">
        <v>135</v>
      </c>
      <c r="B5" s="3" t="s">
        <v>136</v>
      </c>
      <c r="C5" s="4" t="s">
        <v>137</v>
      </c>
    </row>
    <row x14ac:dyDescent="0.25" r="6" customHeight="1" ht="39.75" customFormat="1" s="1">
      <c r="A6" s="4" t="s">
        <v>135</v>
      </c>
      <c r="B6" s="3" t="s">
        <v>138</v>
      </c>
      <c r="C6" s="4" t="s">
        <v>139</v>
      </c>
    </row>
    <row x14ac:dyDescent="0.25" r="7" customHeight="1" ht="39.75" customFormat="1" s="1">
      <c r="A7" s="4" t="s">
        <v>135</v>
      </c>
      <c r="B7" s="3" t="s">
        <v>140</v>
      </c>
      <c r="C7" s="4" t="s">
        <v>141</v>
      </c>
    </row>
    <row x14ac:dyDescent="0.25" r="8" customHeight="1" ht="39.75" customFormat="1" s="1">
      <c r="A8" s="4" t="s">
        <v>135</v>
      </c>
      <c r="B8" s="3" t="s">
        <v>142</v>
      </c>
      <c r="C8" s="4" t="s">
        <v>143</v>
      </c>
    </row>
    <row x14ac:dyDescent="0.25" r="9" customHeight="1" ht="62.25" customFormat="1" s="1">
      <c r="A9" s="4" t="s">
        <v>144</v>
      </c>
      <c r="B9" s="3" t="s">
        <v>145</v>
      </c>
      <c r="C9" s="4" t="s">
        <v>146</v>
      </c>
    </row>
    <row x14ac:dyDescent="0.25" r="10" customHeight="1" ht="39.75" customFormat="1" s="1">
      <c r="A10" s="4" t="s">
        <v>147</v>
      </c>
      <c r="B10" s="3" t="s">
        <v>148</v>
      </c>
      <c r="C10" s="4" t="s">
        <v>149</v>
      </c>
    </row>
    <row x14ac:dyDescent="0.25" r="11" customHeight="1" ht="39.75" customFormat="1" s="1">
      <c r="A11" s="4" t="s">
        <v>150</v>
      </c>
      <c r="B11" s="3" t="s">
        <v>151</v>
      </c>
      <c r="C11" s="4" t="s">
        <v>152</v>
      </c>
    </row>
    <row x14ac:dyDescent="0.25" r="12" customHeight="1" ht="107.25" customFormat="1" s="1">
      <c r="A12" s="4" t="s">
        <v>153</v>
      </c>
      <c r="B12" s="3" t="s">
        <v>154</v>
      </c>
      <c r="C12" s="4" t="s">
        <v>155</v>
      </c>
    </row>
    <row x14ac:dyDescent="0.25" r="13" customHeight="1" ht="17.25" customFormat="1" s="1">
      <c r="A13" s="4"/>
      <c r="B13" s="3"/>
      <c r="C13" s="4"/>
    </row>
    <row x14ac:dyDescent="0.25" r="14" customHeight="1" ht="18.75" customFormat="1" s="1">
      <c r="A14" s="6" t="s">
        <v>156</v>
      </c>
      <c r="B14" s="7" t="s">
        <v>42</v>
      </c>
      <c r="C14" s="6"/>
    </row>
    <row x14ac:dyDescent="0.25" r="15" customHeight="1" ht="39.75" customFormat="1" s="1">
      <c r="A15" s="4" t="s">
        <v>157</v>
      </c>
      <c r="B15" s="3" t="s">
        <v>158</v>
      </c>
      <c r="C15" s="4"/>
    </row>
    <row x14ac:dyDescent="0.25" r="16" customHeight="1" ht="17.25" customFormat="1" s="1">
      <c r="A16" s="4" t="s">
        <v>159</v>
      </c>
      <c r="B16" s="9">
        <v>32.24</v>
      </c>
      <c r="C16" s="4"/>
    </row>
    <row x14ac:dyDescent="0.25" r="17" customHeight="1" ht="17.25" customFormat="1" s="1">
      <c r="A17" s="4" t="s">
        <v>160</v>
      </c>
      <c r="B17" s="3" t="s">
        <v>161</v>
      </c>
      <c r="C17" s="4"/>
    </row>
    <row x14ac:dyDescent="0.25" r="18" customHeight="1" ht="17.25" customFormat="1" s="1">
      <c r="A18" s="4" t="s">
        <v>162</v>
      </c>
      <c r="B18" s="3" t="s">
        <v>163</v>
      </c>
      <c r="C18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9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0" width="34.005" customWidth="1" bestFit="1"/>
    <col min="2" max="2" style="24" width="16.005" customWidth="1" bestFit="1"/>
    <col min="3" max="3" style="24" width="16.005" customWidth="1" bestFit="1"/>
    <col min="4" max="4" style="24" width="16.005" customWidth="1" bestFit="1"/>
    <col min="5" max="5" style="24" width="16.005" customWidth="1" bestFit="1"/>
    <col min="6" max="6" style="24" width="16.005" customWidth="1" bestFit="1"/>
    <col min="7" max="7" style="24" width="16.005" customWidth="1" bestFit="1"/>
  </cols>
  <sheetData>
    <row x14ac:dyDescent="0.25" r="1" customHeight="1" ht="17.25" customFormat="1" s="1">
      <c r="A1" s="2" t="s">
        <v>118</v>
      </c>
      <c r="B1" s="17"/>
      <c r="C1" s="17"/>
      <c r="D1" s="17"/>
      <c r="E1" s="17"/>
      <c r="F1" s="17"/>
      <c r="G1" s="17"/>
    </row>
    <row x14ac:dyDescent="0.25" r="2" customHeight="1" ht="17.25" customFormat="1" s="1">
      <c r="A2" s="5" t="s">
        <v>119</v>
      </c>
      <c r="B2" s="17"/>
      <c r="C2" s="17"/>
      <c r="D2" s="17"/>
      <c r="E2" s="17"/>
      <c r="F2" s="17"/>
      <c r="G2" s="17"/>
    </row>
    <row x14ac:dyDescent="0.25" r="3" customHeight="1" ht="17.25" customFormat="1" s="1">
      <c r="A3" s="6"/>
      <c r="B3" s="19"/>
      <c r="C3" s="19"/>
      <c r="D3" s="19"/>
      <c r="E3" s="19"/>
      <c r="F3" s="19"/>
      <c r="G3" s="19"/>
    </row>
    <row x14ac:dyDescent="0.25" r="4" customHeight="1" ht="17.25" customFormat="1" s="1">
      <c r="A4" s="20" t="s">
        <v>20</v>
      </c>
      <c r="B4" s="21">
        <v>20469</v>
      </c>
      <c r="C4" s="21">
        <v>23795</v>
      </c>
      <c r="D4" s="21">
        <v>28590</v>
      </c>
      <c r="E4" s="21">
        <v>28343</v>
      </c>
      <c r="F4" s="21">
        <v>27193</v>
      </c>
      <c r="G4" s="21">
        <v>25992.1770495612</v>
      </c>
    </row>
    <row x14ac:dyDescent="0.25" r="5" customHeight="1" ht="17.25" customFormat="1" s="1">
      <c r="A5" s="20" t="s">
        <v>111</v>
      </c>
      <c r="B5" s="15">
        <v>-0.152</v>
      </c>
      <c r="C5" s="15">
        <v>0.163</v>
      </c>
      <c r="D5" s="15">
        <v>0.2015129228829586</v>
      </c>
      <c r="E5" s="15">
        <v>-0.009</v>
      </c>
      <c r="F5" s="15">
        <v>-0.04057439226616799</v>
      </c>
      <c r="G5" s="15">
        <v>-0.04414882337331694</v>
      </c>
    </row>
    <row x14ac:dyDescent="0.25" r="6" customHeight="1" ht="17.25" customFormat="1" s="1">
      <c r="A6" s="20" t="s">
        <v>120</v>
      </c>
      <c r="B6" s="21">
        <v>3631</v>
      </c>
      <c r="C6" s="21">
        <v>4700</v>
      </c>
      <c r="D6" s="21">
        <v>5262</v>
      </c>
      <c r="E6" s="21">
        <v>5489</v>
      </c>
      <c r="F6" s="21">
        <v>5361.03125847017</v>
      </c>
      <c r="G6" s="21">
        <v>4662.71205215706</v>
      </c>
    </row>
    <row x14ac:dyDescent="0.25" r="7" customHeight="1" ht="17.25" customFormat="1" s="1">
      <c r="A7" s="20" t="s">
        <v>112</v>
      </c>
      <c r="B7" s="15">
        <f>B6/B4</f>
      </c>
      <c r="C7" s="15">
        <f>C6/C4</f>
      </c>
      <c r="D7" s="15">
        <f>D6/D4</f>
      </c>
      <c r="E7" s="15">
        <f>E6/E4</f>
      </c>
      <c r="F7" s="15">
        <f>F6/F4</f>
      </c>
      <c r="G7" s="15">
        <f>G6/G4</f>
      </c>
    </row>
    <row x14ac:dyDescent="0.25" r="8" customHeight="1" ht="17.25" customFormat="1" s="1">
      <c r="A8" s="20" t="s">
        <v>121</v>
      </c>
      <c r="B8" s="21">
        <v>1878</v>
      </c>
      <c r="C8" s="21">
        <v>2966</v>
      </c>
      <c r="D8" s="21">
        <v>3396</v>
      </c>
      <c r="E8" s="21">
        <v>3572</v>
      </c>
      <c r="F8" s="21">
        <v>3378</v>
      </c>
      <c r="G8" s="21">
        <v>2719.218638651149</v>
      </c>
    </row>
    <row x14ac:dyDescent="0.25" r="9" customHeight="1" ht="17.25" customFormat="1" s="1">
      <c r="A9" s="20" t="s">
        <v>122</v>
      </c>
      <c r="B9" s="21">
        <v>0.092</v>
      </c>
      <c r="C9" s="21">
        <v>0.125</v>
      </c>
      <c r="D9" s="21">
        <v>0.1187827911857293</v>
      </c>
      <c r="E9" s="21">
        <v>0.126</v>
      </c>
      <c r="F9" s="21">
        <v>0.1242231456624867</v>
      </c>
      <c r="G9" s="21">
        <v>0.1046168096449257</v>
      </c>
    </row>
    <row x14ac:dyDescent="0.25" r="10" customHeight="1" ht="17.25" customFormat="1" s="1">
      <c r="A10" s="20" t="s">
        <v>123</v>
      </c>
      <c r="B10" s="21">
        <v>1403</v>
      </c>
      <c r="C10" s="21">
        <v>2777</v>
      </c>
      <c r="D10" s="21">
        <v>3021</v>
      </c>
      <c r="E10" s="21">
        <v>2652</v>
      </c>
      <c r="F10" s="21">
        <v>2631</v>
      </c>
      <c r="G10" s="21">
        <v>2366.12937876237</v>
      </c>
    </row>
    <row x14ac:dyDescent="0.25" r="11" customHeight="1" ht="17.25" customFormat="1" s="1">
      <c r="A11" s="20" t="s">
        <v>124</v>
      </c>
      <c r="B11" s="21">
        <v>625</v>
      </c>
      <c r="C11" s="21">
        <v>1845</v>
      </c>
      <c r="D11" s="21">
        <v>2009</v>
      </c>
      <c r="E11" s="21">
        <v>1983</v>
      </c>
      <c r="F11" s="21">
        <v>1890</v>
      </c>
      <c r="G11" s="21">
        <v>1663.96797692861</v>
      </c>
    </row>
    <row x14ac:dyDescent="0.25" r="12" customHeight="1" ht="17.25" customFormat="1" s="1">
      <c r="A12" s="20" t="s">
        <v>125</v>
      </c>
      <c r="B12" s="15">
        <f>B6/B4</f>
      </c>
      <c r="C12" s="15">
        <f>C6/C4</f>
      </c>
      <c r="D12" s="15">
        <f>D6/D4</f>
      </c>
      <c r="E12" s="15">
        <f>E6/E4</f>
      </c>
      <c r="F12" s="15">
        <f>F6/F4</f>
      </c>
      <c r="G12" s="15">
        <f>G6/G4</f>
      </c>
    </row>
    <row x14ac:dyDescent="0.25" r="13" customHeight="1" ht="17.25" customFormat="1" s="1">
      <c r="A13" s="20" t="s">
        <v>126</v>
      </c>
      <c r="B13" s="21">
        <v>3366</v>
      </c>
      <c r="C13" s="21">
        <v>2906</v>
      </c>
      <c r="D13" s="21">
        <v>1931</v>
      </c>
      <c r="E13" s="21">
        <v>5287</v>
      </c>
      <c r="F13" s="21">
        <v>4336</v>
      </c>
      <c r="G13" s="21">
        <v>3819.414178391924</v>
      </c>
    </row>
    <row x14ac:dyDescent="0.25" r="14" customHeight="1" ht="17.25" customFormat="1" s="1">
      <c r="A14" s="20" t="s">
        <v>24</v>
      </c>
      <c r="B14" s="21">
        <v>1221</v>
      </c>
      <c r="C14" s="21">
        <v>1705</v>
      </c>
      <c r="D14" s="21">
        <v>2141</v>
      </c>
      <c r="E14" s="21">
        <v>2236</v>
      </c>
      <c r="F14" s="21">
        <v>2182</v>
      </c>
      <c r="G14" s="21">
        <v>1967</v>
      </c>
    </row>
    <row x14ac:dyDescent="0.25" r="15" customHeight="1" ht="17.25" customFormat="1" s="1">
      <c r="A15" s="20" t="s">
        <v>117</v>
      </c>
      <c r="B15" s="15">
        <f>B14/B4</f>
      </c>
      <c r="C15" s="15">
        <f>C14/C4</f>
      </c>
      <c r="D15" s="15">
        <f>D14/D4</f>
      </c>
      <c r="E15" s="15">
        <f>E14/E4</f>
      </c>
      <c r="F15" s="15">
        <f>F14/F4</f>
      </c>
      <c r="G15" s="15">
        <f>G14/G4</f>
      </c>
    </row>
    <row x14ac:dyDescent="0.25" r="16" customHeight="1" ht="17.25" customFormat="1" s="1">
      <c r="A16" s="20" t="s">
        <v>127</v>
      </c>
      <c r="B16" s="21">
        <v>2004</v>
      </c>
      <c r="C16" s="21">
        <v>1357</v>
      </c>
      <c r="D16" s="21">
        <v>-180.3</v>
      </c>
      <c r="E16" s="21">
        <v>2342.8</v>
      </c>
      <c r="F16" s="21">
        <v>2225.4</v>
      </c>
      <c r="G16" s="21">
        <v>2181</v>
      </c>
    </row>
    <row x14ac:dyDescent="0.25" r="17" customHeight="1" ht="17.25" customFormat="1" s="1">
      <c r="A17" s="20" t="s">
        <v>128</v>
      </c>
      <c r="B17" s="15">
        <f>B16/B4</f>
      </c>
      <c r="C17" s="15">
        <f>C16/C4</f>
      </c>
      <c r="D17" s="15">
        <f>D16/D4</f>
      </c>
      <c r="E17" s="15">
        <f>E16/E4</f>
      </c>
      <c r="F17" s="15">
        <f>F16/F4</f>
      </c>
      <c r="G17" s="15">
        <f>G16/G4</f>
      </c>
    </row>
    <row x14ac:dyDescent="0.25" r="18" customHeight="1" ht="17.25" customFormat="1" s="1">
      <c r="A18" s="20" t="s">
        <v>34</v>
      </c>
      <c r="B18" s="21">
        <v>3531</v>
      </c>
      <c r="C18" s="21">
        <v>2789</v>
      </c>
      <c r="D18" s="21">
        <v>4320</v>
      </c>
      <c r="E18" s="21">
        <v>3280.8</v>
      </c>
      <c r="F18" s="21">
        <v>3112</v>
      </c>
      <c r="G18" s="21">
        <v>2345</v>
      </c>
    </row>
    <row x14ac:dyDescent="0.25" r="19" customHeight="1" ht="17.25" customFormat="1" s="1">
      <c r="A19" s="20" t="s">
        <v>129</v>
      </c>
      <c r="B19" s="8">
        <f>B18/B6</f>
      </c>
      <c r="C19" s="8">
        <f>C18/C6</f>
      </c>
      <c r="D19" s="8">
        <f>D18/D6</f>
      </c>
      <c r="E19" s="8">
        <f>E18/E6</f>
      </c>
      <c r="F19" s="8">
        <f>F18/F6</f>
      </c>
      <c r="G19" s="8">
        <f>G18/G6</f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7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0" width="34.005" customWidth="1" bestFit="1"/>
    <col min="2" max="2" style="25" width="16.005" customWidth="1" bestFit="1"/>
    <col min="3" max="3" style="25" width="16.005" customWidth="1" bestFit="1"/>
    <col min="4" max="4" style="25" width="16.005" customWidth="1" bestFit="1"/>
    <col min="5" max="5" style="25" width="16.005" customWidth="1" bestFit="1"/>
    <col min="6" max="6" style="25" width="16.005" customWidth="1" bestFit="1"/>
    <col min="7" max="7" style="25" width="16.005" customWidth="1" bestFit="1"/>
  </cols>
  <sheetData>
    <row x14ac:dyDescent="0.25" r="1" customHeight="1" ht="17.25" customFormat="1" s="1">
      <c r="A1" s="2" t="s">
        <v>109</v>
      </c>
      <c r="B1" s="17"/>
      <c r="C1" s="17"/>
      <c r="D1" s="17"/>
      <c r="E1" s="17"/>
      <c r="F1" s="17"/>
      <c r="G1" s="17"/>
    </row>
    <row x14ac:dyDescent="0.25" r="2" customHeight="1" ht="17.25" customFormat="1" s="1">
      <c r="A2" s="5" t="s">
        <v>110</v>
      </c>
      <c r="B2" s="17"/>
      <c r="C2" s="17"/>
      <c r="D2" s="17"/>
      <c r="E2" s="17"/>
      <c r="F2" s="17"/>
      <c r="G2" s="17"/>
    </row>
    <row x14ac:dyDescent="0.25" r="3" customHeight="1" ht="17.25" customFormat="1" s="1">
      <c r="A3" s="6"/>
      <c r="B3" s="19"/>
      <c r="C3" s="19"/>
      <c r="D3" s="19"/>
      <c r="E3" s="19"/>
      <c r="F3" s="19"/>
      <c r="G3" s="19"/>
    </row>
    <row x14ac:dyDescent="0.25" r="4" customHeight="1" ht="17.25" customFormat="1" s="1">
      <c r="A4" s="20" t="s">
        <v>20</v>
      </c>
      <c r="B4" s="21">
        <v>25992.1770495612</v>
      </c>
      <c r="C4" s="21">
        <v>26382.05970530461</v>
      </c>
      <c r="D4" s="21">
        <v>27041.61119793723</v>
      </c>
      <c r="E4" s="21">
        <v>27852.85953387535</v>
      </c>
      <c r="F4" s="21">
        <v>28688.44531989161</v>
      </c>
      <c r="G4" s="21">
        <v>29405.6564528889</v>
      </c>
    </row>
    <row x14ac:dyDescent="0.25" r="5" customHeight="1" ht="17.25" customFormat="1" s="1">
      <c r="A5" s="20" t="s">
        <v>111</v>
      </c>
      <c r="B5" s="15">
        <v>-0.04414882337331694</v>
      </c>
      <c r="C5" s="15">
        <v>0.015</v>
      </c>
      <c r="D5" s="15">
        <v>0.025</v>
      </c>
      <c r="E5" s="15">
        <v>0.03</v>
      </c>
      <c r="F5" s="15">
        <v>0.03</v>
      </c>
      <c r="G5" s="15">
        <v>0.025</v>
      </c>
    </row>
    <row x14ac:dyDescent="0.25" r="6" customHeight="1" ht="17.25" customFormat="1" s="1">
      <c r="A6" s="20" t="s">
        <v>112</v>
      </c>
      <c r="B6" s="15">
        <v>0.1793890539936814</v>
      </c>
      <c r="C6" s="15">
        <v>0.18</v>
      </c>
      <c r="D6" s="15">
        <v>0.184</v>
      </c>
      <c r="E6" s="15">
        <v>0.187</v>
      </c>
      <c r="F6" s="15">
        <v>0.189</v>
      </c>
      <c r="G6" s="15">
        <v>0.19</v>
      </c>
    </row>
    <row x14ac:dyDescent="0.25" r="7" customHeight="1" ht="17.25" customFormat="1" s="1">
      <c r="A7" s="20" t="s">
        <v>113</v>
      </c>
      <c r="B7" s="21">
        <v>4662.71205215706</v>
      </c>
      <c r="C7" s="21">
        <v>4748.77074695483</v>
      </c>
      <c r="D7" s="21">
        <v>4975.65646042045</v>
      </c>
      <c r="E7" s="21">
        <v>5208.48473283469</v>
      </c>
      <c r="F7" s="21">
        <v>5422.116165459514</v>
      </c>
      <c r="G7" s="21">
        <v>5587.074726048891</v>
      </c>
    </row>
    <row x14ac:dyDescent="0.25" r="8" customHeight="1" ht="17.25" customFormat="1" s="1">
      <c r="A8" s="20" t="s">
        <v>114</v>
      </c>
      <c r="B8" s="15">
        <v>0.1046168096449257</v>
      </c>
      <c r="C8" s="15">
        <v>0.107</v>
      </c>
      <c r="D8" s="15">
        <v>0.112</v>
      </c>
      <c r="E8" s="15">
        <v>0.116</v>
      </c>
      <c r="F8" s="15">
        <v>0.119</v>
      </c>
      <c r="G8" s="15">
        <v>0.12</v>
      </c>
    </row>
    <row x14ac:dyDescent="0.25" r="9" customHeight="1" ht="17.25" customFormat="1" s="1">
      <c r="A9" s="20" t="s">
        <v>21</v>
      </c>
      <c r="B9" s="21">
        <v>2719.218638651149</v>
      </c>
      <c r="C9" s="21">
        <v>2822.880388467594</v>
      </c>
      <c r="D9" s="21">
        <v>3028.66045416897</v>
      </c>
      <c r="E9" s="21">
        <v>3230.93170592954</v>
      </c>
      <c r="F9" s="21">
        <v>3413.924993067101</v>
      </c>
      <c r="G9" s="21">
        <v>3528.678774346668</v>
      </c>
    </row>
    <row x14ac:dyDescent="0.25" r="10" customHeight="1" ht="17.25" customFormat="1" s="1">
      <c r="A10" s="20" t="s">
        <v>115</v>
      </c>
      <c r="B10" s="15">
        <v>0.2629317622491242</v>
      </c>
      <c r="C10" s="15">
        <v>0.2629317622491242</v>
      </c>
      <c r="D10" s="15">
        <v>0.2629317622491242</v>
      </c>
      <c r="E10" s="15">
        <v>0.2629317622491242</v>
      </c>
      <c r="F10" s="15">
        <v>0.2629317622491242</v>
      </c>
      <c r="G10" s="15">
        <v>0.2629317622491242</v>
      </c>
    </row>
    <row x14ac:dyDescent="0.25" r="11" customHeight="1" ht="17.25" customFormat="1" s="1">
      <c r="A11" s="20" t="s">
        <v>22</v>
      </c>
      <c r="B11" s="21">
        <v>2004.249690049938</v>
      </c>
      <c r="C11" s="21">
        <v>2080.655473309317</v>
      </c>
      <c r="D11" s="21">
        <v>2232.32942370009</v>
      </c>
      <c r="E11" s="21">
        <v>2381.417138782917</v>
      </c>
      <c r="F11" s="21">
        <v>2516.295678453639</v>
      </c>
      <c r="G11" s="21">
        <v>2600.877045796618</v>
      </c>
    </row>
    <row x14ac:dyDescent="0.25" r="12" customHeight="1" ht="17.25" customFormat="1" s="1">
      <c r="A12" s="20" t="s">
        <v>116</v>
      </c>
      <c r="B12" s="15">
        <v>0.07477224434875575</v>
      </c>
      <c r="C12" s="15">
        <v>0.073</v>
      </c>
      <c r="D12" s="15">
        <v>0.072</v>
      </c>
      <c r="E12" s="15">
        <v>0.071</v>
      </c>
      <c r="F12" s="15">
        <v>0.07</v>
      </c>
      <c r="G12" s="15">
        <v>0.07</v>
      </c>
    </row>
    <row x14ac:dyDescent="0.25" r="13" customHeight="1" ht="17.25" customFormat="1" s="1">
      <c r="A13" s="20" t="s">
        <v>23</v>
      </c>
      <c r="B13" s="21">
        <v>1943.493413505911</v>
      </c>
      <c r="C13" s="21">
        <v>1925.890358487237</v>
      </c>
      <c r="D13" s="21">
        <v>1946.99600625148</v>
      </c>
      <c r="E13" s="21">
        <v>1977.553026905149</v>
      </c>
      <c r="F13" s="21">
        <v>2008.191172392413</v>
      </c>
      <c r="G13" s="21">
        <v>2058.395951702223</v>
      </c>
    </row>
    <row x14ac:dyDescent="0.25" r="14" customHeight="1" ht="17.25" customFormat="1" s="1">
      <c r="A14" s="20" t="s">
        <v>117</v>
      </c>
      <c r="B14" s="15">
        <v>0.07567661593907182</v>
      </c>
      <c r="C14" s="15">
        <v>0.073</v>
      </c>
      <c r="D14" s="15">
        <v>0.072</v>
      </c>
      <c r="E14" s="15">
        <v>0.071</v>
      </c>
      <c r="F14" s="15">
        <v>0.07</v>
      </c>
      <c r="G14" s="15">
        <v>0.07</v>
      </c>
    </row>
    <row x14ac:dyDescent="0.25" r="15" customHeight="1" ht="17.25" customFormat="1" s="1">
      <c r="A15" s="20" t="s">
        <v>24</v>
      </c>
      <c r="B15" s="21">
        <v>1967</v>
      </c>
      <c r="C15" s="21">
        <v>1925.890358487237</v>
      </c>
      <c r="D15" s="21">
        <v>1946.99600625148</v>
      </c>
      <c r="E15" s="21">
        <v>1977.553026905149</v>
      </c>
      <c r="F15" s="21">
        <v>2008.191172392413</v>
      </c>
      <c r="G15" s="21">
        <v>2058.395951702223</v>
      </c>
    </row>
    <row x14ac:dyDescent="0.25" r="16" customHeight="1" ht="17.25" customFormat="1" s="1">
      <c r="A16" s="20" t="s">
        <v>25</v>
      </c>
      <c r="B16" s="21">
        <v>0</v>
      </c>
      <c r="C16" s="21">
        <v>3.89882655743415</v>
      </c>
      <c r="D16" s="21">
        <v>6.595514926326141</v>
      </c>
      <c r="E16" s="21">
        <v>8.112483359381185</v>
      </c>
      <c r="F16" s="21">
        <v>8.355857860162613</v>
      </c>
      <c r="G16" s="21">
        <v>7.172111329972868</v>
      </c>
    </row>
    <row x14ac:dyDescent="0.25" r="17" customHeight="1" ht="17.25" customFormat="1" s="1">
      <c r="A17" s="20" t="s">
        <v>26</v>
      </c>
      <c r="B17" s="21">
        <v>2181</v>
      </c>
      <c r="C17" s="21">
        <v>2076.756646751883</v>
      </c>
      <c r="D17" s="21">
        <v>2225.733908773764</v>
      </c>
      <c r="E17" s="21">
        <v>2373.304655423536</v>
      </c>
      <c r="F17" s="21">
        <v>2507.939820593476</v>
      </c>
      <c r="G17" s="21">
        <v>2593.704934466646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20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0" width="34.005" customWidth="1" bestFit="1"/>
    <col min="2" max="2" style="11" width="16.005" customWidth="1" bestFit="1"/>
    <col min="3" max="3" style="11" width="16.005" customWidth="1" bestFit="1"/>
    <col min="4" max="4" style="11" width="46.005" customWidth="1" bestFit="1"/>
    <col min="5" max="5" style="11" width="16.005" customWidth="1" bestFit="1"/>
    <col min="6" max="6" style="11" width="16.005" customWidth="1" bestFit="1"/>
    <col min="7" max="7" style="11" width="16.005" customWidth="1" bestFit="1"/>
  </cols>
  <sheetData>
    <row x14ac:dyDescent="0.25" r="1" customHeight="1" ht="17.25" customFormat="1" s="1">
      <c r="A1" s="2" t="s">
        <v>63</v>
      </c>
      <c r="B1" s="3"/>
      <c r="C1" s="3"/>
      <c r="D1" s="3"/>
      <c r="E1" s="3"/>
      <c r="F1" s="3"/>
      <c r="G1" s="3"/>
    </row>
    <row x14ac:dyDescent="0.25" r="2" customHeight="1" ht="17.25" customFormat="1" s="1">
      <c r="A2" s="5" t="s">
        <v>64</v>
      </c>
      <c r="B2" s="3"/>
      <c r="C2" s="3"/>
      <c r="D2" s="3"/>
      <c r="E2" s="3"/>
      <c r="F2" s="3"/>
      <c r="G2" s="3"/>
    </row>
    <row x14ac:dyDescent="0.25" r="3" customHeight="1" ht="17.25" customFormat="1" s="1">
      <c r="A3" s="6"/>
      <c r="B3" s="7"/>
      <c r="C3" s="7"/>
      <c r="D3" s="7"/>
      <c r="E3" s="7"/>
      <c r="F3" s="7"/>
      <c r="G3" s="7"/>
    </row>
    <row x14ac:dyDescent="0.25" r="4" customHeight="1" ht="17.25" customFormat="1" s="1">
      <c r="A4" s="4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</row>
    <row x14ac:dyDescent="0.25" r="5" customHeight="1" ht="17.25" customFormat="1" s="1">
      <c r="A5" s="4" t="s">
        <v>72</v>
      </c>
      <c r="B5" s="3" t="s">
        <v>73</v>
      </c>
      <c r="C5" s="3" t="s">
        <v>74</v>
      </c>
      <c r="D5" s="3" t="s">
        <v>75</v>
      </c>
      <c r="E5" s="9">
        <v>1.01</v>
      </c>
      <c r="F5" s="9">
        <v>5.38</v>
      </c>
      <c r="G5" s="9">
        <v>9.34</v>
      </c>
    </row>
    <row x14ac:dyDescent="0.25" r="6" customHeight="1" ht="17.25" customFormat="1" s="1">
      <c r="A6" s="4" t="s">
        <v>76</v>
      </c>
      <c r="B6" s="3" t="s">
        <v>77</v>
      </c>
      <c r="C6" s="3" t="s">
        <v>78</v>
      </c>
      <c r="D6" s="3" t="s">
        <v>79</v>
      </c>
      <c r="E6" s="9">
        <v>0.46</v>
      </c>
      <c r="F6" s="9">
        <v>6.8</v>
      </c>
      <c r="G6" s="9">
        <v>23.48</v>
      </c>
    </row>
    <row x14ac:dyDescent="0.25" r="7" customHeight="1" ht="17.25" customFormat="1" s="1">
      <c r="A7" s="4" t="s">
        <v>80</v>
      </c>
      <c r="B7" s="3" t="s">
        <v>81</v>
      </c>
      <c r="C7" s="3" t="s">
        <v>82</v>
      </c>
      <c r="D7" s="3" t="s">
        <v>83</v>
      </c>
      <c r="E7" s="9">
        <v>0.97</v>
      </c>
      <c r="F7" s="9">
        <v>6.89</v>
      </c>
      <c r="G7" s="9">
        <v>12.18</v>
      </c>
    </row>
    <row x14ac:dyDescent="0.25" r="8" customHeight="1" ht="17.25" customFormat="1" s="1">
      <c r="A8" s="4" t="s">
        <v>84</v>
      </c>
      <c r="B8" s="3" t="s">
        <v>85</v>
      </c>
      <c r="C8" s="3" t="s">
        <v>86</v>
      </c>
      <c r="D8" s="3" t="s">
        <v>87</v>
      </c>
      <c r="E8" s="9">
        <v>1.18</v>
      </c>
      <c r="F8" s="9">
        <v>4.96</v>
      </c>
      <c r="G8" s="9">
        <v>7.78</v>
      </c>
    </row>
    <row x14ac:dyDescent="0.25" r="9" customHeight="1" ht="17.25" customFormat="1" s="1">
      <c r="A9" s="4" t="s">
        <v>88</v>
      </c>
      <c r="B9" s="3" t="s">
        <v>89</v>
      </c>
      <c r="C9" s="3" t="s">
        <v>74</v>
      </c>
      <c r="D9" s="3" t="s">
        <v>90</v>
      </c>
      <c r="E9" s="9">
        <v>1.22</v>
      </c>
      <c r="F9" s="9">
        <v>6.53</v>
      </c>
      <c r="G9" s="9">
        <v>9.6</v>
      </c>
    </row>
    <row x14ac:dyDescent="0.25" r="10" customHeight="1" ht="17.25" customFormat="1" s="1">
      <c r="A10" s="4" t="s">
        <v>91</v>
      </c>
      <c r="B10" s="3" t="s">
        <v>92</v>
      </c>
      <c r="C10" s="3" t="s">
        <v>93</v>
      </c>
      <c r="D10" s="3" t="s">
        <v>94</v>
      </c>
      <c r="E10" s="9">
        <v>0.61</v>
      </c>
      <c r="F10" s="9">
        <v>4.03</v>
      </c>
      <c r="G10" s="9">
        <v>7.07</v>
      </c>
    </row>
    <row x14ac:dyDescent="0.25" r="11" customHeight="1" ht="17.25" customFormat="1" s="1">
      <c r="A11" s="6"/>
      <c r="B11" s="7"/>
      <c r="C11" s="7"/>
      <c r="D11" s="7"/>
      <c r="E11" s="7"/>
      <c r="F11" s="7"/>
      <c r="G11" s="7"/>
    </row>
    <row x14ac:dyDescent="0.25" r="12" customHeight="1" ht="17.25" customFormat="1" s="1">
      <c r="A12" s="4" t="s">
        <v>95</v>
      </c>
      <c r="B12" s="3" t="s">
        <v>69</v>
      </c>
      <c r="C12" s="3" t="s">
        <v>70</v>
      </c>
      <c r="D12" s="3" t="s">
        <v>71</v>
      </c>
      <c r="E12" s="3"/>
      <c r="F12" s="3"/>
      <c r="G12" s="3"/>
    </row>
    <row x14ac:dyDescent="0.25" r="13" customHeight="1" ht="17.25" customFormat="1" s="1">
      <c r="A13" s="4" t="s">
        <v>96</v>
      </c>
      <c r="B13" s="9">
        <f>QUARTILE.INC(E4:E9,1)</f>
      </c>
      <c r="C13" s="9">
        <f>QUARTILE.INC(F4:F9,1)</f>
      </c>
      <c r="D13" s="9">
        <f>QUARTILE.INC(G4:G9,1)</f>
      </c>
      <c r="E13" s="3"/>
      <c r="F13" s="3"/>
      <c r="G13" s="3"/>
    </row>
    <row x14ac:dyDescent="0.25" r="14" customHeight="1" ht="17.25" customFormat="1" s="1">
      <c r="A14" s="4" t="s">
        <v>97</v>
      </c>
      <c r="B14" s="9">
        <f>MEDIAN(E4:E9)</f>
      </c>
      <c r="C14" s="9">
        <f>MEDIAN(F4:F9)</f>
      </c>
      <c r="D14" s="9">
        <f>MEDIAN(G4:G9)</f>
      </c>
      <c r="E14" s="3"/>
      <c r="F14" s="3"/>
      <c r="G14" s="3"/>
    </row>
    <row x14ac:dyDescent="0.25" r="15" customHeight="1" ht="17.25" customFormat="1" s="1">
      <c r="A15" s="4" t="s">
        <v>98</v>
      </c>
      <c r="B15" s="3">
        <f>QUARTILE.INC(E4:E9,3)</f>
      </c>
      <c r="C15" s="3">
        <f>QUARTILE.INC(F4:F9,3)</f>
      </c>
      <c r="D15" s="3">
        <f>QUARTILE.INC(G4:G9,3)</f>
      </c>
      <c r="E15" s="3"/>
      <c r="F15" s="3"/>
      <c r="G15" s="3"/>
    </row>
    <row x14ac:dyDescent="0.25" r="16" customHeight="1" ht="17.25" customFormat="1" s="1">
      <c r="A16" s="6"/>
      <c r="B16" s="7"/>
      <c r="C16" s="7"/>
      <c r="D16" s="7"/>
      <c r="E16" s="7"/>
      <c r="F16" s="7"/>
      <c r="G16" s="7"/>
    </row>
    <row x14ac:dyDescent="0.25" r="17" customHeight="1" ht="17.25" customFormat="1" s="1">
      <c r="A17" s="4" t="s">
        <v>99</v>
      </c>
      <c r="B17" s="3" t="s">
        <v>100</v>
      </c>
      <c r="C17" s="3" t="s">
        <v>101</v>
      </c>
      <c r="D17" s="3" t="s">
        <v>102</v>
      </c>
      <c r="E17" s="3" t="s">
        <v>103</v>
      </c>
      <c r="F17" s="3" t="s">
        <v>104</v>
      </c>
      <c r="G17" s="3" t="s">
        <v>105</v>
      </c>
    </row>
    <row x14ac:dyDescent="0.25" r="18" customHeight="1" ht="17.25" customFormat="1" s="1">
      <c r="A18" s="4" t="s">
        <v>106</v>
      </c>
      <c r="B18" s="9">
        <v>0.7</v>
      </c>
      <c r="C18" s="9">
        <v>0.99</v>
      </c>
      <c r="D18" s="9">
        <v>1.1375</v>
      </c>
      <c r="E18" s="8">
        <v>23.54534829820549</v>
      </c>
      <c r="F18" s="8">
        <v>34.71863642879278</v>
      </c>
      <c r="G18" s="8">
        <v>40.40160194348804</v>
      </c>
    </row>
    <row x14ac:dyDescent="0.25" r="19" customHeight="1" ht="17.25" customFormat="1" s="1">
      <c r="A19" s="4" t="s">
        <v>107</v>
      </c>
      <c r="B19" s="9">
        <v>5.065</v>
      </c>
      <c r="C19" s="9">
        <v>5.955</v>
      </c>
      <c r="D19" s="9">
        <v>6.7325</v>
      </c>
      <c r="E19" s="8">
        <v>31.70184863353421</v>
      </c>
      <c r="F19" s="8">
        <v>37.87412711118967</v>
      </c>
      <c r="G19" s="8">
        <v>43.26620184869206</v>
      </c>
    </row>
    <row x14ac:dyDescent="0.25" r="20" customHeight="1" ht="17.25" customFormat="1" s="1">
      <c r="A20" s="4" t="s">
        <v>108</v>
      </c>
      <c r="B20" s="9">
        <v>8.17</v>
      </c>
      <c r="C20" s="9">
        <v>9.469999999999999</v>
      </c>
      <c r="D20" s="9">
        <v>11.535</v>
      </c>
      <c r="E20" s="9">
        <v>30.25664160671238</v>
      </c>
      <c r="F20" s="9">
        <v>35.61596705141822</v>
      </c>
      <c r="G20" s="9">
        <v>44.12904939243172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0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0" width="34.005" customWidth="1" bestFit="1"/>
    <col min="2" max="2" style="11" width="16.005" customWidth="1" bestFit="1"/>
    <col min="3" max="3" style="10" width="16.005" customWidth="1" bestFit="1"/>
  </cols>
  <sheetData>
    <row x14ac:dyDescent="0.25" r="1" customHeight="1" ht="17.25" customFormat="1" s="1">
      <c r="A1" s="2" t="s">
        <v>39</v>
      </c>
      <c r="B1" s="3"/>
      <c r="C1" s="4"/>
    </row>
    <row x14ac:dyDescent="0.25" r="2" customHeight="1" ht="17.25" customFormat="1" s="1">
      <c r="A2" s="5" t="s">
        <v>40</v>
      </c>
      <c r="B2" s="3"/>
      <c r="C2" s="4"/>
    </row>
    <row x14ac:dyDescent="0.25" r="3" customHeight="1" ht="17.25" customFormat="1" s="1">
      <c r="A3" s="6"/>
      <c r="B3" s="7"/>
      <c r="C3" s="6"/>
    </row>
    <row x14ac:dyDescent="0.25" r="4" customHeight="1" ht="17.25" customFormat="1" s="1">
      <c r="A4" s="4" t="s">
        <v>41</v>
      </c>
      <c r="B4" s="3" t="s">
        <v>42</v>
      </c>
      <c r="C4" s="4" t="s">
        <v>43</v>
      </c>
    </row>
    <row x14ac:dyDescent="0.25" r="5" customHeight="1" ht="17.25" customFormat="1" s="1">
      <c r="A5" s="4" t="s">
        <v>44</v>
      </c>
      <c r="B5" s="8">
        <v>32.24</v>
      </c>
      <c r="C5" s="4" t="s">
        <v>45</v>
      </c>
    </row>
    <row x14ac:dyDescent="0.25" r="6" customHeight="1" ht="17.25" customFormat="1" s="1">
      <c r="A6" s="4" t="s">
        <v>36</v>
      </c>
      <c r="B6" s="8">
        <v>684.74</v>
      </c>
      <c r="C6" s="4" t="s">
        <v>46</v>
      </c>
    </row>
    <row x14ac:dyDescent="0.25" r="7" customHeight="1" ht="17.25" customFormat="1" s="1">
      <c r="A7" s="4" t="s">
        <v>47</v>
      </c>
      <c r="B7" s="8">
        <v>22076.0176</v>
      </c>
      <c r="C7" s="4" t="s">
        <v>48</v>
      </c>
    </row>
    <row x14ac:dyDescent="0.25" r="8" customHeight="1" ht="17.25" customFormat="1" s="1">
      <c r="A8" s="4" t="s">
        <v>34</v>
      </c>
      <c r="B8" s="8">
        <v>2345</v>
      </c>
      <c r="C8" s="4" t="s">
        <v>48</v>
      </c>
    </row>
    <row x14ac:dyDescent="0.25" r="9" customHeight="1" ht="17.25" customFormat="1" s="1">
      <c r="A9" s="4" t="s">
        <v>49</v>
      </c>
      <c r="B9" s="8">
        <v>24421.0176</v>
      </c>
      <c r="C9" s="4" t="s">
        <v>48</v>
      </c>
    </row>
    <row x14ac:dyDescent="0.25" r="10" customHeight="1" ht="17.25" customFormat="1" s="1">
      <c r="A10" s="4" t="s">
        <v>50</v>
      </c>
      <c r="B10" s="15">
        <v>0.0368</v>
      </c>
      <c r="C10" s="4" t="s">
        <v>51</v>
      </c>
    </row>
    <row x14ac:dyDescent="0.25" r="11" customHeight="1" ht="17.25" customFormat="1" s="1">
      <c r="A11" s="4" t="s">
        <v>52</v>
      </c>
      <c r="B11" s="15">
        <v>0.0575</v>
      </c>
      <c r="C11" s="4" t="s">
        <v>51</v>
      </c>
    </row>
    <row x14ac:dyDescent="0.25" r="12" customHeight="1" ht="17.25" customFormat="1" s="1">
      <c r="A12" s="4" t="s">
        <v>53</v>
      </c>
      <c r="B12" s="9">
        <v>1</v>
      </c>
      <c r="C12" s="4" t="s">
        <v>54</v>
      </c>
    </row>
    <row x14ac:dyDescent="0.25" r="13" customHeight="1" ht="17.25" customFormat="1" s="1">
      <c r="A13" s="4" t="s">
        <v>55</v>
      </c>
      <c r="B13" s="15">
        <v>0.0943</v>
      </c>
      <c r="C13" s="4" t="s">
        <v>51</v>
      </c>
    </row>
    <row x14ac:dyDescent="0.25" r="14" customHeight="1" ht="17.25" customFormat="1" s="1">
      <c r="A14" s="4" t="s">
        <v>56</v>
      </c>
      <c r="B14" s="15">
        <v>0.038</v>
      </c>
      <c r="C14" s="4" t="s">
        <v>51</v>
      </c>
    </row>
    <row x14ac:dyDescent="0.25" r="15" customHeight="1" ht="17.25" customFormat="1" s="1">
      <c r="A15" s="4" t="s">
        <v>57</v>
      </c>
      <c r="B15" s="15">
        <v>0.2629317622491242</v>
      </c>
      <c r="C15" s="4" t="s">
        <v>51</v>
      </c>
    </row>
    <row x14ac:dyDescent="0.25" r="16" customHeight="1" ht="17.25" customFormat="1" s="1">
      <c r="A16" s="4" t="s">
        <v>58</v>
      </c>
      <c r="B16" s="15">
        <v>0.02800859303453328</v>
      </c>
      <c r="C16" s="4" t="s">
        <v>51</v>
      </c>
    </row>
    <row x14ac:dyDescent="0.25" r="17" customHeight="1" ht="17.25" customFormat="1" s="1">
      <c r="A17" s="4" t="s">
        <v>59</v>
      </c>
      <c r="B17" s="15">
        <v>0.9039761553588987</v>
      </c>
      <c r="C17" s="4" t="s">
        <v>51</v>
      </c>
    </row>
    <row x14ac:dyDescent="0.25" r="18" customHeight="1" ht="17.25" customFormat="1" s="1">
      <c r="A18" s="4" t="s">
        <v>60</v>
      </c>
      <c r="B18" s="15">
        <v>0.09602384464110127</v>
      </c>
      <c r="C18" s="4" t="s">
        <v>51</v>
      </c>
    </row>
    <row x14ac:dyDescent="0.25" r="19" customHeight="1" ht="17.25" customFormat="1" s="1">
      <c r="A19" s="4" t="s">
        <v>61</v>
      </c>
      <c r="B19" s="15">
        <v>0.08793444423650801</v>
      </c>
      <c r="C19" s="4" t="s">
        <v>51</v>
      </c>
    </row>
    <row x14ac:dyDescent="0.25" r="20" customHeight="1" ht="17.25" customFormat="1" s="1">
      <c r="A20" s="4" t="s">
        <v>62</v>
      </c>
      <c r="B20" s="9">
        <v>0.015</v>
      </c>
      <c r="C20" s="4" t="s">
        <v>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5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0" width="34.005" customWidth="1" bestFit="1"/>
    <col min="2" max="2" style="23" width="16.005" customWidth="1" bestFit="1"/>
    <col min="3" max="3" style="24" width="16.005" customWidth="1" bestFit="1"/>
    <col min="4" max="4" style="24" width="16.005" customWidth="1" bestFit="1"/>
    <col min="5" max="5" style="24" width="16.005" customWidth="1" bestFit="1"/>
    <col min="6" max="6" style="24" width="16.005" customWidth="1" bestFit="1"/>
  </cols>
  <sheetData>
    <row x14ac:dyDescent="0.25" r="1" customHeight="1" ht="17.25" customFormat="1" s="1">
      <c r="A1" s="2" t="s">
        <v>18</v>
      </c>
      <c r="B1" s="16"/>
      <c r="C1" s="17"/>
      <c r="D1" s="17"/>
      <c r="E1" s="17"/>
      <c r="F1" s="17"/>
    </row>
    <row x14ac:dyDescent="0.25" r="2" customHeight="1" ht="17.25" customFormat="1" s="1">
      <c r="A2" s="5" t="s">
        <v>19</v>
      </c>
      <c r="B2" s="16"/>
      <c r="C2" s="17"/>
      <c r="D2" s="17"/>
      <c r="E2" s="17"/>
      <c r="F2" s="17"/>
    </row>
    <row x14ac:dyDescent="0.25" r="3" customHeight="1" ht="17.25" customFormat="1" s="1">
      <c r="A3" s="6"/>
      <c r="B3" s="18"/>
      <c r="C3" s="19"/>
      <c r="D3" s="19"/>
      <c r="E3" s="19"/>
      <c r="F3" s="19"/>
    </row>
    <row x14ac:dyDescent="0.25" r="4" customHeight="1" ht="17.25" customFormat="1" s="1">
      <c r="A4" s="20" t="s">
        <v>20</v>
      </c>
      <c r="B4" s="21">
        <v>26382.05970530461</v>
      </c>
      <c r="C4" s="21">
        <v>27041.61119793723</v>
      </c>
      <c r="D4" s="21">
        <v>27852.85953387535</v>
      </c>
      <c r="E4" s="21">
        <v>28688.44531989161</v>
      </c>
      <c r="F4" s="21">
        <v>29405.6564528889</v>
      </c>
    </row>
    <row x14ac:dyDescent="0.25" r="5" customHeight="1" ht="17.25" customFormat="1" s="1">
      <c r="A5" s="20" t="s">
        <v>21</v>
      </c>
      <c r="B5" s="21">
        <v>2822.880388467594</v>
      </c>
      <c r="C5" s="21">
        <v>3028.66045416897</v>
      </c>
      <c r="D5" s="21">
        <v>3230.93170592954</v>
      </c>
      <c r="E5" s="21">
        <v>3413.924993067101</v>
      </c>
      <c r="F5" s="21">
        <v>3528.678774346668</v>
      </c>
    </row>
    <row x14ac:dyDescent="0.25" r="6" customHeight="1" ht="17.25" customFormat="1" s="1">
      <c r="A6" s="20" t="s">
        <v>22</v>
      </c>
      <c r="B6" s="21">
        <v>2080.655473309317</v>
      </c>
      <c r="C6" s="21">
        <v>2232.32942370009</v>
      </c>
      <c r="D6" s="21">
        <v>2381.417138782917</v>
      </c>
      <c r="E6" s="21">
        <v>2516.295678453639</v>
      </c>
      <c r="F6" s="21">
        <v>2600.877045796618</v>
      </c>
    </row>
    <row x14ac:dyDescent="0.25" r="7" customHeight="1" ht="17.25" customFormat="1" s="1">
      <c r="A7" s="20" t="s">
        <v>23</v>
      </c>
      <c r="B7" s="21">
        <v>1925.890358487237</v>
      </c>
      <c r="C7" s="21">
        <v>1946.99600625148</v>
      </c>
      <c r="D7" s="21">
        <v>1977.553026905149</v>
      </c>
      <c r="E7" s="21">
        <v>2008.191172392413</v>
      </c>
      <c r="F7" s="21">
        <v>2058.395951702223</v>
      </c>
    </row>
    <row x14ac:dyDescent="0.25" r="8" customHeight="1" ht="17.25" customFormat="1" s="1">
      <c r="A8" s="20" t="s">
        <v>24</v>
      </c>
      <c r="B8" s="21">
        <v>1925.890358487237</v>
      </c>
      <c r="C8" s="21">
        <v>1946.99600625148</v>
      </c>
      <c r="D8" s="21">
        <v>1977.553026905149</v>
      </c>
      <c r="E8" s="21">
        <v>2008.191172392413</v>
      </c>
      <c r="F8" s="21">
        <v>2058.395951702223</v>
      </c>
    </row>
    <row x14ac:dyDescent="0.25" r="9" customHeight="1" ht="17.25" customFormat="1" s="1">
      <c r="A9" s="20" t="s">
        <v>25</v>
      </c>
      <c r="B9" s="21">
        <v>3.89882655743415</v>
      </c>
      <c r="C9" s="21">
        <v>6.595514926326141</v>
      </c>
      <c r="D9" s="21">
        <v>8.112483359381185</v>
      </c>
      <c r="E9" s="21">
        <v>8.355857860162613</v>
      </c>
      <c r="F9" s="21">
        <v>7.172111329972868</v>
      </c>
    </row>
    <row x14ac:dyDescent="0.25" r="10" customHeight="1" ht="17.25" customFormat="1" s="1">
      <c r="A10" s="20" t="s">
        <v>26</v>
      </c>
      <c r="B10" s="21">
        <v>2076.756646751883</v>
      </c>
      <c r="C10" s="21">
        <v>2225.733908773764</v>
      </c>
      <c r="D10" s="21">
        <v>2373.304655423536</v>
      </c>
      <c r="E10" s="21">
        <v>2507.939820593476</v>
      </c>
      <c r="F10" s="21">
        <v>2593.704934466646</v>
      </c>
    </row>
    <row x14ac:dyDescent="0.25" r="11" customHeight="1" ht="17.25" customFormat="1" s="1">
      <c r="A11" s="20" t="s">
        <v>27</v>
      </c>
      <c r="B11" s="22">
        <v>0.9191730304134099</v>
      </c>
      <c r="C11" s="22">
        <v>0.8448790598393715</v>
      </c>
      <c r="D11" s="22">
        <v>0.7765900457653878</v>
      </c>
      <c r="E11" s="22">
        <v>0.7138206257550602</v>
      </c>
      <c r="F11" s="22">
        <v>0.6561246677468753</v>
      </c>
    </row>
    <row x14ac:dyDescent="0.25" r="12" customHeight="1" ht="17.25" customFormat="1" s="1">
      <c r="A12" s="20" t="s">
        <v>28</v>
      </c>
      <c r="B12" s="21">
        <v>1908.89870042612</v>
      </c>
      <c r="C12" s="21">
        <v>1880.475972297387</v>
      </c>
      <c r="D12" s="21">
        <v>1843.084770970572</v>
      </c>
      <c r="E12" s="21">
        <v>1790.219172092069</v>
      </c>
      <c r="F12" s="21">
        <v>1701.793788360359</v>
      </c>
    </row>
    <row x14ac:dyDescent="0.25" r="13" customHeight="1" ht="17.25" customFormat="1" s="1">
      <c r="A13" s="4"/>
      <c r="B13" s="16"/>
      <c r="C13" s="17"/>
      <c r="D13" s="17"/>
      <c r="E13" s="17"/>
      <c r="F13" s="17"/>
    </row>
    <row x14ac:dyDescent="0.25" r="14" customHeight="1" ht="17.25" customFormat="1" s="1">
      <c r="A14" s="4"/>
      <c r="B14" s="16"/>
      <c r="C14" s="17"/>
      <c r="D14" s="17"/>
      <c r="E14" s="17"/>
      <c r="F14" s="17"/>
    </row>
    <row x14ac:dyDescent="0.25" r="15" customHeight="1" ht="17.25" customFormat="1" s="1">
      <c r="A15" s="6" t="s">
        <v>29</v>
      </c>
      <c r="B15" s="16"/>
      <c r="C15" s="17"/>
      <c r="D15" s="17"/>
      <c r="E15" s="17"/>
      <c r="F15" s="17"/>
    </row>
    <row x14ac:dyDescent="0.25" r="16" customHeight="1" ht="17.25" customFormat="1" s="1">
      <c r="A16" s="4" t="s">
        <v>30</v>
      </c>
      <c r="B16" s="8">
        <v>9124.472404146507</v>
      </c>
      <c r="C16" s="17"/>
      <c r="D16" s="17"/>
      <c r="E16" s="17"/>
      <c r="F16" s="17"/>
    </row>
    <row x14ac:dyDescent="0.25" r="17" customHeight="1" ht="17.25" customFormat="1" s="1">
      <c r="A17" s="4" t="s">
        <v>31</v>
      </c>
      <c r="B17" s="8">
        <v>36095.57234640403</v>
      </c>
      <c r="C17" s="17"/>
      <c r="D17" s="17"/>
      <c r="E17" s="17"/>
      <c r="F17" s="17"/>
    </row>
    <row x14ac:dyDescent="0.25" r="18" customHeight="1" ht="17.25" customFormat="1" s="1">
      <c r="A18" s="4" t="s">
        <v>32</v>
      </c>
      <c r="B18" s="8">
        <v>23683.19541291764</v>
      </c>
      <c r="C18" s="17"/>
      <c r="D18" s="17"/>
      <c r="E18" s="17"/>
      <c r="F18" s="17"/>
    </row>
    <row x14ac:dyDescent="0.25" r="19" customHeight="1" ht="17.25" customFormat="1" s="1">
      <c r="A19" s="4" t="s">
        <v>33</v>
      </c>
      <c r="B19" s="8">
        <v>32807.66781706415</v>
      </c>
      <c r="C19" s="17"/>
      <c r="D19" s="17"/>
      <c r="E19" s="17"/>
      <c r="F19" s="17"/>
    </row>
    <row x14ac:dyDescent="0.25" r="20" customHeight="1" ht="17.25" customFormat="1" s="1">
      <c r="A20" s="4" t="s">
        <v>34</v>
      </c>
      <c r="B20" s="8">
        <v>2345</v>
      </c>
      <c r="C20" s="17"/>
      <c r="D20" s="17"/>
      <c r="E20" s="17"/>
      <c r="F20" s="17"/>
    </row>
    <row x14ac:dyDescent="0.25" r="21" customHeight="1" ht="17.25" customFormat="1" s="1">
      <c r="A21" s="4" t="s">
        <v>35</v>
      </c>
      <c r="B21" s="8">
        <v>30462.66781706415</v>
      </c>
      <c r="C21" s="17"/>
      <c r="D21" s="17"/>
      <c r="E21" s="17"/>
      <c r="F21" s="17"/>
    </row>
    <row x14ac:dyDescent="0.25" r="22" customHeight="1" ht="17.25" customFormat="1" s="1">
      <c r="A22" s="4" t="s">
        <v>36</v>
      </c>
      <c r="B22" s="8">
        <v>684.74</v>
      </c>
      <c r="C22" s="17"/>
      <c r="D22" s="17"/>
      <c r="E22" s="17"/>
      <c r="F22" s="17"/>
    </row>
    <row x14ac:dyDescent="0.25" r="23" customHeight="1" ht="17.25" customFormat="1" s="1">
      <c r="A23" s="4" t="s">
        <v>37</v>
      </c>
      <c r="B23" s="8">
        <v>44.4879338392151</v>
      </c>
      <c r="C23" s="17"/>
      <c r="D23" s="17"/>
      <c r="E23" s="17"/>
      <c r="F23" s="17"/>
    </row>
    <row x14ac:dyDescent="0.25" r="24" customHeight="1" ht="17.25" customFormat="1" s="1">
      <c r="A24" s="4" t="s">
        <v>7</v>
      </c>
      <c r="B24" s="8">
        <v>32.24</v>
      </c>
      <c r="C24" s="17"/>
      <c r="D24" s="17"/>
      <c r="E24" s="17"/>
      <c r="F24" s="17"/>
    </row>
    <row x14ac:dyDescent="0.25" r="25" customHeight="1" ht="17.25" customFormat="1" s="1">
      <c r="A25" s="4" t="s">
        <v>38</v>
      </c>
      <c r="B25" s="15">
        <v>0.3798986922833465</v>
      </c>
      <c r="C25" s="17"/>
      <c r="D25" s="17"/>
      <c r="E25" s="17"/>
      <c r="F25" s="1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9"/>
  <sheetViews>
    <sheetView workbookViewId="0" tabSelected="1">
      <pane state="frozen" activePane="bottomLeft" topLeftCell="A4" ySplit="3" xSplit="0"/>
    </sheetView>
  </sheetViews>
  <sheetFormatPr defaultRowHeight="15" x14ac:dyDescent="0.25"/>
  <cols>
    <col min="1" max="1" style="11" width="34.005" customWidth="1" bestFit="1"/>
    <col min="2" max="2" style="11" width="16.005" customWidth="1" bestFit="1"/>
    <col min="3" max="3" style="11" width="16.005" customWidth="1" bestFit="1"/>
    <col min="4" max="4" style="11" width="16.005" customWidth="1" bestFit="1"/>
    <col min="5" max="5" style="11" width="16.005" customWidth="1" bestFit="1"/>
    <col min="6" max="6" style="11" width="16.005" customWidth="1" bestFit="1"/>
  </cols>
  <sheetData>
    <row x14ac:dyDescent="0.25" r="1" customHeight="1" ht="17.25" customFormat="1" s="1">
      <c r="A1" s="12" t="s">
        <v>15</v>
      </c>
      <c r="B1" s="3"/>
      <c r="C1" s="3"/>
      <c r="D1" s="3"/>
      <c r="E1" s="3"/>
      <c r="F1" s="3"/>
    </row>
    <row x14ac:dyDescent="0.25" r="2" customHeight="1" ht="17.25" customFormat="1" s="1">
      <c r="A2" s="13" t="s">
        <v>16</v>
      </c>
      <c r="B2" s="3"/>
      <c r="C2" s="3"/>
      <c r="D2" s="3"/>
      <c r="E2" s="3"/>
      <c r="F2" s="3"/>
    </row>
    <row x14ac:dyDescent="0.25" r="3" customHeight="1" ht="17.25" customFormat="1" s="1">
      <c r="A3" s="7"/>
      <c r="B3" s="14"/>
      <c r="C3" s="14"/>
      <c r="D3" s="14"/>
      <c r="E3" s="14"/>
      <c r="F3" s="14"/>
    </row>
    <row x14ac:dyDescent="0.25" r="4" customHeight="1" ht="17.25" customFormat="1" s="1">
      <c r="A4" s="3" t="s">
        <v>17</v>
      </c>
      <c r="B4" s="8">
        <v>0.005</v>
      </c>
      <c r="C4" s="8">
        <v>0.01</v>
      </c>
      <c r="D4" s="8">
        <v>0.015</v>
      </c>
      <c r="E4" s="8">
        <v>0.02</v>
      </c>
      <c r="F4" s="8">
        <v>0.025</v>
      </c>
    </row>
    <row x14ac:dyDescent="0.25" r="5" customHeight="1" ht="17.25" customFormat="1" s="1">
      <c r="A5" s="15">
        <v>0.07793444423650801</v>
      </c>
      <c r="B5" s="8">
        <v>46.13391738466918</v>
      </c>
      <c r="C5" s="8">
        <v>48.9651318664208</v>
      </c>
      <c r="D5" s="8">
        <v>52.24621358956916</v>
      </c>
      <c r="E5" s="8">
        <v>56.09363918058206</v>
      </c>
      <c r="F5" s="8">
        <v>60.66789314327345</v>
      </c>
    </row>
    <row x14ac:dyDescent="0.25" r="6" customHeight="1" ht="17.25" customFormat="1" s="1">
      <c r="A6" s="15">
        <v>0.082934444236508</v>
      </c>
      <c r="B6" s="8">
        <v>42.87905233057199</v>
      </c>
      <c r="C6" s="8">
        <v>45.30172134244438</v>
      </c>
      <c r="D6" s="8">
        <v>48.08100900912436</v>
      </c>
      <c r="E6" s="8">
        <v>51.30191297994384</v>
      </c>
      <c r="F6" s="8">
        <v>55.07877360371238</v>
      </c>
    </row>
    <row x14ac:dyDescent="0.25" r="7" customHeight="1" ht="17.25" customFormat="1" s="1">
      <c r="A7" s="15">
        <v>0.08793444423650801</v>
      </c>
      <c r="B7" s="8">
        <v>40.01784303049416</v>
      </c>
      <c r="C7" s="8">
        <v>42.10949577797125</v>
      </c>
      <c r="D7" s="8">
        <v>44.4879338392151</v>
      </c>
      <c r="E7" s="8">
        <v>47.21647972690464</v>
      </c>
      <c r="F7" s="8">
        <v>50.37857927837732</v>
      </c>
    </row>
    <row x14ac:dyDescent="0.25" r="8" customHeight="1" ht="17.25" customFormat="1" s="1">
      <c r="A8" s="15">
        <v>0.09293444423650801</v>
      </c>
      <c r="B8" s="8">
        <v>37.48311366222215</v>
      </c>
      <c r="C8" s="8">
        <v>39.30321035192281</v>
      </c>
      <c r="D8" s="8">
        <v>41.35684905344269</v>
      </c>
      <c r="E8" s="8">
        <v>43.69206098459611</v>
      </c>
      <c r="F8" s="8">
        <v>46.37101782415318</v>
      </c>
    </row>
    <row x14ac:dyDescent="0.25" r="9" customHeight="1" ht="17.25" customFormat="1" s="1">
      <c r="A9" s="9">
        <v>0.097934444236508</v>
      </c>
      <c r="B9" s="9">
        <v>35.22214567439982</v>
      </c>
      <c r="C9" s="9">
        <v>36.81700912408296</v>
      </c>
      <c r="D9" s="9">
        <v>38.60417668388168</v>
      </c>
      <c r="E9" s="9">
        <v>40.62066102104462</v>
      </c>
      <c r="F9" s="9">
        <v>42.9136243741611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8"/>
  <sheetViews>
    <sheetView workbookViewId="0">
      <pane state="frozen" activePane="bottomLeft" topLeftCell="A4" ySplit="3" xSplit="0"/>
    </sheetView>
  </sheetViews>
  <sheetFormatPr defaultRowHeight="15" x14ac:dyDescent="0.25"/>
  <cols>
    <col min="1" max="1" style="10" width="34.005" customWidth="1" bestFit="1"/>
    <col min="2" max="2" style="11" width="16.005" customWidth="1" bestFit="1"/>
    <col min="3" max="3" style="11" width="16.005" customWidth="1" bestFit="1"/>
    <col min="4" max="4" style="11" width="16.005" customWidth="1" bestFit="1"/>
    <col min="5" max="5" style="10" width="48.005" customWidth="1" bestFit="1"/>
  </cols>
  <sheetData>
    <row x14ac:dyDescent="0.25" r="1" customHeight="1" ht="17.25" customFormat="1" s="1">
      <c r="A1" s="2" t="s">
        <v>0</v>
      </c>
      <c r="B1" s="3"/>
      <c r="C1" s="3"/>
      <c r="D1" s="3"/>
      <c r="E1" s="4"/>
    </row>
    <row x14ac:dyDescent="0.25" r="2" customHeight="1" ht="17.25" customFormat="1" s="1">
      <c r="A2" s="5" t="s">
        <v>1</v>
      </c>
      <c r="B2" s="3"/>
      <c r="C2" s="3"/>
      <c r="D2" s="3"/>
      <c r="E2" s="4"/>
    </row>
    <row x14ac:dyDescent="0.25" r="3" customHeight="1" ht="17.25" customFormat="1" s="1">
      <c r="A3" s="6"/>
      <c r="B3" s="7"/>
      <c r="C3" s="7"/>
      <c r="D3" s="7"/>
      <c r="E3" s="6"/>
    </row>
    <row x14ac:dyDescent="0.25" r="4" customHeight="1" ht="17.25" customFormat="1" s="1">
      <c r="A4" s="4" t="s">
        <v>2</v>
      </c>
      <c r="B4" s="3" t="s">
        <v>3</v>
      </c>
      <c r="C4" s="3" t="s">
        <v>4</v>
      </c>
      <c r="D4" s="3" t="s">
        <v>5</v>
      </c>
      <c r="E4" s="4" t="s">
        <v>6</v>
      </c>
    </row>
    <row x14ac:dyDescent="0.25" r="5" customHeight="1" ht="17.25" customFormat="1" s="1">
      <c r="A5" s="4" t="s">
        <v>7</v>
      </c>
      <c r="B5" s="8">
        <v>32.24</v>
      </c>
      <c r="C5" s="8">
        <v>32.24</v>
      </c>
      <c r="D5" s="8">
        <v>32.24</v>
      </c>
      <c r="E5" s="4" t="s">
        <v>8</v>
      </c>
    </row>
    <row x14ac:dyDescent="0.25" r="6" customHeight="1" ht="17.25" customFormat="1" s="1">
      <c r="A6" s="4" t="s">
        <v>9</v>
      </c>
      <c r="B6" s="8">
        <v>23.54534829820549</v>
      </c>
      <c r="C6" s="8">
        <v>36.06957686380022</v>
      </c>
      <c r="D6" s="8">
        <v>44.12904939243172</v>
      </c>
      <c r="E6" s="4" t="s">
        <v>10</v>
      </c>
    </row>
    <row x14ac:dyDescent="0.25" r="7" customHeight="1" ht="17.25" customFormat="1" s="1">
      <c r="A7" s="4" t="s">
        <v>11</v>
      </c>
      <c r="B7" s="8">
        <v>35.22214567439982</v>
      </c>
      <c r="C7" s="8">
        <v>44.4879338392151</v>
      </c>
      <c r="D7" s="8">
        <v>60.66789314327345</v>
      </c>
      <c r="E7" s="4" t="s">
        <v>12</v>
      </c>
    </row>
    <row x14ac:dyDescent="0.25" r="8" customHeight="1" ht="17.25" customFormat="1" s="1">
      <c r="A8" s="4" t="s">
        <v>13</v>
      </c>
      <c r="B8" s="9">
        <v>40.27875535150766</v>
      </c>
      <c r="C8" s="9">
        <v>40.27875535150766</v>
      </c>
      <c r="D8" s="9">
        <v>40.27875535150766</v>
      </c>
      <c r="E8" s="4" t="s">
        <v>14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8</vt:i4>
      </vt:variant>
    </vt:vector>
  </HeadingPairs>
  <TitlesOfParts>
    <vt:vector baseType="lpstr" size="8">
      <vt:lpstr>Sources</vt:lpstr>
      <vt:lpstr>Historical</vt:lpstr>
      <vt:lpstr>Forecast</vt:lpstr>
      <vt:lpstr>Comps</vt:lpstr>
      <vt:lpstr>WACC</vt:lpstr>
      <vt:lpstr>DCF</vt:lpstr>
      <vt:lpstr>Sensitivity</vt:lpstr>
      <vt:lpstr>Football_Field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2026-04-20T21:30:51.635Z</dcterms:created>
  <dcterms:modified xsi:type="dcterms:W3CDTF">2026-04-20T21:30:51.635Z</dcterms:modified>
</cp:coreProperties>
</file>