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rces" sheetId="1" state="visible" r:id="rId1"/>
    <sheet xmlns:r="http://schemas.openxmlformats.org/officeDocument/2006/relationships" name="Historical" sheetId="2" state="visible" r:id="rId2"/>
    <sheet xmlns:r="http://schemas.openxmlformats.org/officeDocument/2006/relationships" name="Forecast" sheetId="3" state="visible" r:id="rId3"/>
    <sheet xmlns:r="http://schemas.openxmlformats.org/officeDocument/2006/relationships" name="Comp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Tornado" sheetId="8" state="visible" r:id="rId8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%"/>
    <numFmt numFmtId="165" formatCode="0.0%"/>
    <numFmt numFmtId="166" formatCode="#,##0.0"/>
    <numFmt numFmtId="167" formatCode="#,##0.000"/>
    <numFmt numFmtId="168" formatCode="0.0"/>
    <numFmt numFmtId="169" formatCode="EUR 0.0"/>
  </numFmts>
  <fonts count="18">
    <font>
      <name val="Calibri"/>
      <color theme="1"/>
      <sz val="11"/>
      <scheme val="minor"/>
    </font>
    <font>
      <name val="Calibri"/>
      <color rgb="FF1F4E5F"/>
      <sz val="16"/>
    </font>
    <font>
      <name val="Calibri"/>
      <color theme="1"/>
      <sz val="11"/>
    </font>
    <font>
      <name val="Calibri"/>
      <color rgb="FF6B7280"/>
      <sz val="10"/>
    </font>
    <font>
      <name val="Calibri"/>
      <color rgb="FFFFFFFF"/>
      <sz val="11"/>
    </font>
    <font>
      <name val="Calibri"/>
      <color rgb="FF20252B"/>
      <sz val="11"/>
    </font>
    <font>
      <name val="Calibri"/>
      <b val="1"/>
      <color rgb="FFFFFFFF"/>
      <sz val="14"/>
      <scheme val="minor"/>
    </font>
    <font>
      <name val="Calibri"/>
      <i val="1"/>
      <color rgb="FF404040"/>
      <sz val="10"/>
      <scheme val="minor"/>
    </font>
    <font>
      <name val="Calibri"/>
      <b val="1"/>
      <color rgb="FF1F1F1F"/>
      <scheme val="minor"/>
    </font>
    <font>
      <name val="Calibri"/>
      <color theme="1"/>
      <scheme val="minor"/>
    </font>
    <font>
      <name val="Calibri"/>
      <color rgb="FF1F1F1F"/>
      <scheme val="minor"/>
    </font>
    <font>
      <name val="Calibri"/>
      <i val="1"/>
      <color rgb="FF404040"/>
      <scheme val="minor"/>
    </font>
    <font/>
    <font>
      <b val="1"/>
      <color rgb="00FFFFFF"/>
      <sz val="14"/>
    </font>
    <font>
      <i val="1"/>
      <color rgb="00404040"/>
      <sz val="10"/>
    </font>
    <font>
      <b val="1"/>
      <color rgb="001F1F1F"/>
    </font>
    <font>
      <color rgb="001F1F1F"/>
    </font>
    <font>
      <i val="1"/>
      <color rgb="00404040"/>
    </font>
  </fonts>
  <fills count="14">
    <fill>
      <patternFill/>
    </fill>
    <fill>
      <patternFill patternType="lightGray"/>
    </fill>
    <fill>
      <patternFill patternType="solid">
        <fgColor rgb="FF1F4E5F"/>
        <bgColor rgb="FF1F4E5F"/>
      </patternFill>
    </fill>
    <fill>
      <patternFill patternType="solid">
        <fgColor rgb="FFF6F8FA"/>
        <bgColor rgb="FFF6F8FA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6F9"/>
        <bgColor rgb="FFF3F6F9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9"/>
      </patternFill>
    </fill>
  </fills>
  <borders count="14">
    <border/>
    <border>
      <bottom style="thin">
        <color rgb="FFD9DEE3"/>
      </bottom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EE3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wrapText="1"/>
    </xf>
    <xf numFmtId="4" fontId="2" fillId="0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3" fillId="0" borderId="1" applyAlignment="1" pivotButton="0" quotePrefix="0" xfId="0">
      <alignment horizontal="left" wrapText="1"/>
    </xf>
    <xf numFmtId="0" fontId="4" fillId="2" borderId="2" applyAlignment="1" pivotButton="0" quotePrefix="0" xfId="0">
      <alignment horizontal="left" wrapText="1"/>
    </xf>
    <xf numFmtId="4" fontId="4" fillId="2" borderId="2" applyAlignment="1" pivotButton="0" quotePrefix="0" xfId="0">
      <alignment horizontal="left" wrapText="1"/>
    </xf>
    <xf numFmtId="4" fontId="2" fillId="0" borderId="1" applyAlignment="1" pivotButton="0" quotePrefix="0" xfId="0">
      <alignment horizontal="right" wrapText="1"/>
    </xf>
    <xf numFmtId="4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1" applyAlignment="1" pivotButton="0" quotePrefix="0" xfId="0">
      <alignment horizontal="left" wrapText="1"/>
    </xf>
    <xf numFmtId="3" fontId="4" fillId="2" borderId="2" applyAlignment="1" pivotButton="0" quotePrefix="0" xfId="0">
      <alignment horizontal="left" wrapText="1"/>
    </xf>
    <xf numFmtId="0" fontId="5" fillId="3" borderId="2" applyAlignment="1" pivotButton="0" quotePrefix="0" xfId="0">
      <alignment horizontal="left" wrapText="1"/>
    </xf>
    <xf numFmtId="3" fontId="2" fillId="0" borderId="1" applyAlignment="1" pivotButton="0" quotePrefix="0" xfId="0">
      <alignment horizontal="right" wrapText="1"/>
    </xf>
    <xf numFmtId="164" fontId="2" fillId="0" borderId="1" applyAlignment="1" pivotButton="0" quotePrefix="0" xfId="0">
      <alignment horizontal="right" wrapText="1"/>
    </xf>
    <xf numFmtId="165" fontId="2" fillId="0" borderId="1" applyAlignment="1" pivotButton="0" quotePrefix="0" xfId="0">
      <alignment horizontal="right" wrapText="1"/>
    </xf>
    <xf numFmtId="166" fontId="2" fillId="0" borderId="1" applyAlignment="1" pivotButton="0" quotePrefix="0" xfId="0">
      <alignment horizontal="right" wrapText="1"/>
    </xf>
    <xf numFmtId="3" fontId="2" fillId="0" borderId="0" applyAlignment="1" pivotButton="0" quotePrefix="0" xfId="0">
      <alignment wrapText="1"/>
    </xf>
    <xf numFmtId="3" fontId="2" fillId="0" borderId="0" applyAlignment="1" pivotButton="0" quotePrefix="0" xfId="0">
      <alignment horizontal="right" wrapText="1"/>
    </xf>
    <xf numFmtId="4" fontId="2" fillId="0" borderId="0" applyAlignment="1" pivotButton="0" quotePrefix="0" xfId="0">
      <alignment horizontal="right" wrapText="1"/>
    </xf>
    <xf numFmtId="164" fontId="2" fillId="0" borderId="1" applyAlignment="1" pivotButton="0" quotePrefix="0" xfId="0">
      <alignment horizontal="left" wrapText="1"/>
    </xf>
    <xf numFmtId="167" fontId="2" fillId="0" borderId="1" applyAlignment="1" pivotButton="0" quotePrefix="0" xfId="0">
      <alignment horizontal="right" wrapText="1"/>
    </xf>
    <xf numFmtId="164" fontId="2" fillId="0" borderId="0" applyAlignment="1" pivotButton="0" quotePrefix="0" xfId="0">
      <alignment horizontal="right" wrapText="1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9" fillId="0" borderId="0" pivotButton="0" quotePrefix="0" xfId="0"/>
    <xf numFmtId="0" fontId="8" fillId="6" borderId="3" applyAlignment="1" pivotButton="0" quotePrefix="0" xfId="0">
      <alignment horizontal="left" vertical="center"/>
    </xf>
    <xf numFmtId="165" fontId="10" fillId="6" borderId="3" applyAlignment="1" pivotButton="0" quotePrefix="0" xfId="0">
      <alignment horizontal="center" vertical="center"/>
    </xf>
    <xf numFmtId="166" fontId="10" fillId="6" borderId="3" applyAlignment="1" pivotButton="0" quotePrefix="0" xfId="0">
      <alignment horizontal="center" vertical="center"/>
    </xf>
    <xf numFmtId="168" fontId="10" fillId="6" borderId="3" applyAlignment="1" pivotButton="0" quotePrefix="0" xfId="0">
      <alignment horizontal="center" vertical="center"/>
    </xf>
    <xf numFmtId="3" fontId="9" fillId="0" borderId="0" pivotButton="0" quotePrefix="0" xfId="0"/>
    <xf numFmtId="164" fontId="9" fillId="0" borderId="0" pivotButton="0" quotePrefix="0" xfId="0"/>
    <xf numFmtId="0" fontId="8" fillId="7" borderId="3" applyAlignment="1" pivotButton="0" quotePrefix="0" xfId="0">
      <alignment horizontal="left" vertical="center"/>
    </xf>
    <xf numFmtId="165" fontId="10" fillId="7" borderId="3" applyAlignment="1" pivotButton="0" quotePrefix="0" xfId="0">
      <alignment horizontal="center" vertical="center"/>
    </xf>
    <xf numFmtId="166" fontId="10" fillId="7" borderId="3" applyAlignment="1" pivotButton="0" quotePrefix="0" xfId="0">
      <alignment horizontal="center" vertical="center"/>
    </xf>
    <xf numFmtId="168" fontId="10" fillId="7" borderId="3" applyAlignment="1" pivotButton="0" quotePrefix="0" xfId="0">
      <alignment horizontal="center" vertical="center"/>
    </xf>
    <xf numFmtId="0" fontId="11" fillId="8" borderId="4" applyAlignment="1" pivotButton="0" quotePrefix="0" xfId="0">
      <alignment horizontal="left" vertical="center"/>
    </xf>
    <xf numFmtId="0" fontId="12" fillId="0" borderId="5" pivotButton="0" quotePrefix="0" xfId="0"/>
    <xf numFmtId="0" fontId="12" fillId="0" borderId="6" pivotButton="0" quotePrefix="0" xfId="0"/>
    <xf numFmtId="166" fontId="9" fillId="0" borderId="0" pivotButton="0" quotePrefix="0" xfId="0"/>
    <xf numFmtId="0" fontId="0" fillId="0" borderId="0" pivotButton="0" quotePrefix="0" xfId="0"/>
    <xf numFmtId="0" fontId="13" fillId="9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10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left" vertical="center"/>
    </xf>
    <xf numFmtId="165" fontId="16" fillId="11" borderId="9" applyAlignment="1" pivotButton="0" quotePrefix="0" xfId="0">
      <alignment horizontal="center" vertical="center"/>
    </xf>
    <xf numFmtId="166" fontId="16" fillId="11" borderId="9" applyAlignment="1" pivotButton="0" quotePrefix="0" xfId="0">
      <alignment horizontal="center" vertical="center"/>
    </xf>
    <xf numFmtId="168" fontId="16" fillId="11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left" vertical="center"/>
    </xf>
    <xf numFmtId="165" fontId="16" fillId="12" borderId="9" applyAlignment="1" pivotButton="0" quotePrefix="0" xfId="0">
      <alignment horizontal="center" vertical="center"/>
    </xf>
    <xf numFmtId="0" fontId="17" fillId="13" borderId="9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13" pivotButton="0" quotePrefix="0" xfId="0"/>
    <xf numFmtId="0" fontId="16" fillId="0" borderId="9" applyAlignment="1" pivotButton="0" quotePrefix="0" xfId="0">
      <alignment horizontal="left" vertical="center"/>
    </xf>
    <xf numFmtId="165" fontId="16" fillId="0" borderId="9" applyAlignment="1" pivotButton="0" quotePrefix="0" xfId="0">
      <alignment horizontal="center" vertical="center"/>
    </xf>
    <xf numFmtId="169" fontId="16" fillId="0" borderId="9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Impact sur la valeur DCF / action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'Tornado'!E4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'Tornado'!$A$5:$A$8</f>
            </numRef>
          </cat>
          <val>
            <numRef>
              <f>'Tornado'!$E$5:$E$8</f>
            </numRef>
          </val>
        </ser>
        <ser>
          <idx val="1"/>
          <order val="1"/>
          <tx>
            <strRef>
              <f>'Tornado'!F4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'Tornado'!$A$5:$A$8</f>
            </numRef>
          </cat>
          <val>
            <numRef>
              <f>'Tornado'!$F$5:$F$8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 / 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30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3"/>
    <col width="8.710000000000001" customWidth="1" style="42" min="4" max="23"/>
  </cols>
  <sheetData>
    <row r="1" ht="17.25" customHeight="1" s="42">
      <c r="A1" s="1" t="inlineStr">
        <is>
          <t>Sources et conventions</t>
        </is>
      </c>
      <c r="B1" s="2" t="n"/>
      <c r="C1" s="3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7.25" customHeight="1" s="42">
      <c r="A2" s="5" t="inlineStr">
        <is>
          <t>Projet finance Michelin, donnees collectees au 20 avril 2026</t>
        </is>
      </c>
      <c r="B2" s="2" t="n"/>
      <c r="C2" s="3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7.25" customHeight="1" s="42">
      <c r="A3" s="6" t="n"/>
      <c r="B3" s="7" t="n"/>
      <c r="C3" s="6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7.25" customHeight="1" s="42">
      <c r="A4" s="3" t="inlineStr">
        <is>
          <t>Source</t>
        </is>
      </c>
      <c r="B4" s="2" t="inlineStr">
        <is>
          <t>Donnee utilisee</t>
        </is>
      </c>
      <c r="C4" s="3" t="inlineStr">
        <is>
          <t>Lien / fichier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84.75" customHeight="1" s="42">
      <c r="A5" s="3" t="inlineStr">
        <is>
          <t>Michelin</t>
        </is>
      </c>
      <c r="B5" s="2" t="inlineStr">
        <is>
          <t>Financial information at December 31, 2025</t>
        </is>
      </c>
      <c r="C5" s="3" t="inlineStr">
        <is>
          <t>https://www.michelin.com/en/publications/group/financial-information-december-31-2025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9.75" customHeight="1" s="42">
      <c r="A6" s="3" t="inlineStr">
        <is>
          <t>Michelin</t>
        </is>
      </c>
      <c r="B6" s="2" t="inlineStr">
        <is>
          <t>All Michelin key figures 2020-2025</t>
        </is>
      </c>
      <c r="C6" s="3" t="inlineStr">
        <is>
          <t>sources/michelin_key_figures_2020_2025.xlsx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39.75" customHeight="1" s="42">
      <c r="A7" s="3" t="inlineStr">
        <is>
          <t>Michelin</t>
        </is>
      </c>
      <c r="B7" s="2" t="inlineStr">
        <is>
          <t>2025 Annual Results Guide</t>
        </is>
      </c>
      <c r="C7" s="3" t="inlineStr">
        <is>
          <t>sources/michelin_2025_annual_results_guide.pdf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39.75" customHeight="1" s="42">
      <c r="A8" s="3" t="inlineStr">
        <is>
          <t>Michelin</t>
        </is>
      </c>
      <c r="B8" s="2" t="inlineStr">
        <is>
          <t>2025 Universal Registration Document</t>
        </is>
      </c>
      <c r="C8" s="3" t="inlineStr">
        <is>
          <t>sources/michelin_2025_urd.pdf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62.25" customHeight="1" s="42">
      <c r="A9" s="3" t="inlineStr">
        <is>
          <t>Grand View Research</t>
        </is>
      </c>
      <c r="B9" s="2" t="inlineStr">
        <is>
          <t>Global tires market 2025-2030</t>
        </is>
      </c>
      <c r="C9" s="3" t="inlineStr">
        <is>
          <t>https://www.grandviewresearch.com/industry-analysis/tires-market-report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39.75" customHeight="1" s="42">
      <c r="A10" s="3" t="inlineStr">
        <is>
          <t>StockAnalysis</t>
        </is>
      </c>
      <c r="B10" s="2" t="inlineStr">
        <is>
          <t>Michelin and peer valuation statistics</t>
        </is>
      </c>
      <c r="C10" s="3" t="inlineStr">
        <is>
          <t>https://stockanalysis.com/quote/epa/ML/statistics/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39.75" customHeight="1" s="42">
      <c r="A11" s="3" t="inlineStr">
        <is>
          <t>CountryEconomy</t>
        </is>
      </c>
      <c r="B11" s="2" t="inlineStr">
        <is>
          <t>France 10-year bond yield</t>
        </is>
      </c>
      <c r="C11" s="3" t="inlineStr">
        <is>
          <t>https://countryeconomy.com/bonds/france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07.25" customHeight="1" s="42">
      <c r="A12" s="3" t="inlineStr">
        <is>
          <t>Kroll</t>
        </is>
      </c>
      <c r="B12" s="2" t="inlineStr">
        <is>
          <t>Eurozone equity risk premium</t>
        </is>
      </c>
      <c r="C12" s="3" t="inlineStr">
        <is>
          <t>https://www.kroll.com/en/reports/cost-of-capital/recommended-eurozone-equity-risk-premium-corresponding-risk-free-rates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7.25" customHeight="1" s="42">
      <c r="A13" s="3" t="n"/>
      <c r="B13" s="2" t="n"/>
      <c r="C13" s="3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8.75" customHeight="1" s="42">
      <c r="A14" s="6" t="inlineStr">
        <is>
          <t>Convention</t>
        </is>
      </c>
      <c r="B14" s="7" t="inlineStr">
        <is>
          <t>Valeur</t>
        </is>
      </c>
      <c r="C14" s="6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39.75" customHeight="1" s="42">
      <c r="A15" s="3" t="inlineStr">
        <is>
          <t>Unite des etats financiers</t>
        </is>
      </c>
      <c r="B15" s="2" t="inlineStr">
        <is>
          <t>EUR millions sauf indication contraire</t>
        </is>
      </c>
      <c r="C15" s="3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7.25" customHeight="1" s="42">
      <c r="A16" s="3" t="inlineStr">
        <is>
          <t>Cours de reference Michelin</t>
        </is>
      </c>
      <c r="B16" s="8" t="n">
        <v>32.24</v>
      </c>
      <c r="C16" s="3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7.25" customHeight="1" s="42">
      <c r="A17" s="3" t="inlineStr">
        <is>
          <t>Actions diluees / en circulation</t>
        </is>
      </c>
      <c r="B17" s="2" t="inlineStr">
        <is>
          <t>684.74m</t>
        </is>
      </c>
      <c r="C17" s="3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7.25" customHeight="1" s="42">
      <c r="A18" s="3" t="inlineStr">
        <is>
          <t>Recommandation retenue</t>
        </is>
      </c>
      <c r="B18" s="2" t="inlineStr">
        <is>
          <t>Acheter</t>
        </is>
      </c>
      <c r="C18" s="3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9" t="n"/>
      <c r="C19" s="4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4" t="n"/>
      <c r="B20" s="9" t="n"/>
      <c r="C20" s="4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5.75" customHeight="1" s="42">
      <c r="A21" s="4" t="n"/>
      <c r="B21" s="9" t="n"/>
      <c r="C21" s="4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5.75" customHeight="1" s="42">
      <c r="A22" s="4" t="n"/>
      <c r="B22" s="9" t="n"/>
      <c r="C22" s="4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5.75" customHeight="1" s="42">
      <c r="A23" s="4" t="n"/>
      <c r="B23" s="9" t="n"/>
      <c r="C23" s="4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5.75" customHeight="1" s="42">
      <c r="A24" s="4" t="n"/>
      <c r="B24" s="9" t="n"/>
      <c r="C24" s="4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5.75" customHeight="1" s="42">
      <c r="A25" s="4" t="n"/>
      <c r="B25" s="9" t="n"/>
      <c r="C25" s="4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5.75" customHeight="1" s="42">
      <c r="A26" s="4" t="n"/>
      <c r="B26" s="9" t="n"/>
      <c r="C26" s="4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5.75" customHeight="1" s="42">
      <c r="A27" s="4" t="n"/>
      <c r="B27" s="9" t="n"/>
      <c r="C27" s="4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5.75" customHeight="1" s="42">
      <c r="A28" s="4" t="n"/>
      <c r="B28" s="9" t="n"/>
      <c r="C28" s="4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5.75" customHeight="1" s="42">
      <c r="A29" s="4" t="n"/>
      <c r="B29" s="9" t="n"/>
      <c r="C29" s="4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5.75" customHeight="1" s="42">
      <c r="A30" s="4" t="n"/>
      <c r="B30" s="9" t="n"/>
      <c r="C30" s="4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5.75" customHeight="1" s="42">
      <c r="A31" s="4" t="n"/>
      <c r="B31" s="9" t="n"/>
      <c r="C31" s="4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5.75" customHeight="1" s="42">
      <c r="A32" s="4" t="n"/>
      <c r="B32" s="9" t="n"/>
      <c r="C32" s="4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5.75" customHeight="1" s="42">
      <c r="A33" s="4" t="n"/>
      <c r="B33" s="9" t="n"/>
      <c r="C33" s="4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5.75" customHeight="1" s="42">
      <c r="A34" s="4" t="n"/>
      <c r="B34" s="9" t="n"/>
      <c r="C34" s="4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5.75" customHeight="1" s="42">
      <c r="A35" s="4" t="n"/>
      <c r="B35" s="9" t="n"/>
      <c r="C35" s="4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5.75" customHeight="1" s="42">
      <c r="A36" s="4" t="n"/>
      <c r="B36" s="9" t="n"/>
      <c r="C36" s="4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5.75" customHeight="1" s="42">
      <c r="A37" s="4" t="n"/>
      <c r="B37" s="9" t="n"/>
      <c r="C37" s="4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5.75" customHeight="1" s="42">
      <c r="A38" s="4" t="n"/>
      <c r="B38" s="9" t="n"/>
      <c r="C38" s="4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5.75" customHeight="1" s="42">
      <c r="A39" s="4" t="n"/>
      <c r="B39" s="9" t="n"/>
      <c r="C39" s="4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5.75" customHeight="1" s="42">
      <c r="A40" s="4" t="n"/>
      <c r="B40" s="9" t="n"/>
      <c r="C40" s="4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5.75" customHeight="1" s="42">
      <c r="A41" s="4" t="n"/>
      <c r="B41" s="9" t="n"/>
      <c r="C41" s="4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5.75" customHeight="1" s="42">
      <c r="A42" s="4" t="n"/>
      <c r="B42" s="9" t="n"/>
      <c r="C42" s="4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5.75" customHeight="1" s="42">
      <c r="A43" s="4" t="n"/>
      <c r="B43" s="9" t="n"/>
      <c r="C43" s="4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5.75" customHeight="1" s="42">
      <c r="A44" s="4" t="n"/>
      <c r="B44" s="9" t="n"/>
      <c r="C44" s="4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5.75" customHeight="1" s="42">
      <c r="A45" s="4" t="n"/>
      <c r="B45" s="9" t="n"/>
      <c r="C45" s="4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5.75" customHeight="1" s="42">
      <c r="A46" s="4" t="n"/>
      <c r="B46" s="9" t="n"/>
      <c r="C46" s="4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5.75" customHeight="1" s="42">
      <c r="A47" s="4" t="n"/>
      <c r="B47" s="9" t="n"/>
      <c r="C47" s="4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5.75" customHeight="1" s="42">
      <c r="A48" s="4" t="n"/>
      <c r="B48" s="9" t="n"/>
      <c r="C48" s="4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5.75" customHeight="1" s="42">
      <c r="A49" s="4" t="n"/>
      <c r="B49" s="9" t="n"/>
      <c r="C49" s="4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5.75" customHeight="1" s="42">
      <c r="A50" s="4" t="n"/>
      <c r="B50" s="9" t="n"/>
      <c r="C50" s="4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5.75" customHeight="1" s="42">
      <c r="A51" s="4" t="n"/>
      <c r="B51" s="9" t="n"/>
      <c r="C51" s="4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5.75" customHeight="1" s="42">
      <c r="A52" s="4" t="n"/>
      <c r="B52" s="9" t="n"/>
      <c r="C52" s="4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5.75" customHeight="1" s="42">
      <c r="A53" s="4" t="n"/>
      <c r="B53" s="9" t="n"/>
      <c r="C53" s="4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5.75" customHeight="1" s="42">
      <c r="A54" s="4" t="n"/>
      <c r="B54" s="9" t="n"/>
      <c r="C54" s="4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5.75" customHeight="1" s="42">
      <c r="A55" s="4" t="n"/>
      <c r="B55" s="9" t="n"/>
      <c r="C55" s="4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5.75" customHeight="1" s="42">
      <c r="A56" s="4" t="n"/>
      <c r="B56" s="9" t="n"/>
      <c r="C56" s="4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5.75" customHeight="1" s="42">
      <c r="A57" s="4" t="n"/>
      <c r="B57" s="9" t="n"/>
      <c r="C57" s="4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5.75" customHeight="1" s="42">
      <c r="A58" s="4" t="n"/>
      <c r="B58" s="9" t="n"/>
      <c r="C58" s="4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5.75" customHeight="1" s="42">
      <c r="A59" s="4" t="n"/>
      <c r="B59" s="9" t="n"/>
      <c r="C59" s="4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5.75" customHeight="1" s="42">
      <c r="A60" s="4" t="n"/>
      <c r="B60" s="9" t="n"/>
      <c r="C60" s="4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5.75" customHeight="1" s="42">
      <c r="A61" s="4" t="n"/>
      <c r="B61" s="9" t="n"/>
      <c r="C61" s="4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5.75" customHeight="1" s="42">
      <c r="A62" s="4" t="n"/>
      <c r="B62" s="9" t="n"/>
      <c r="C62" s="4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5.75" customHeight="1" s="42">
      <c r="A63" s="4" t="n"/>
      <c r="B63" s="9" t="n"/>
      <c r="C63" s="4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5.75" customHeight="1" s="42">
      <c r="A64" s="4" t="n"/>
      <c r="B64" s="9" t="n"/>
      <c r="C64" s="4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5.75" customHeight="1" s="42">
      <c r="A65" s="4" t="n"/>
      <c r="B65" s="9" t="n"/>
      <c r="C65" s="4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5.75" customHeight="1" s="42">
      <c r="A66" s="4" t="n"/>
      <c r="B66" s="9" t="n"/>
      <c r="C66" s="4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5.75" customHeight="1" s="42">
      <c r="A67" s="4" t="n"/>
      <c r="B67" s="9" t="n"/>
      <c r="C67" s="4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5.75" customHeight="1" s="42">
      <c r="A68" s="4" t="n"/>
      <c r="B68" s="9" t="n"/>
      <c r="C68" s="4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5.75" customHeight="1" s="42">
      <c r="A69" s="4" t="n"/>
      <c r="B69" s="9" t="n"/>
      <c r="C69" s="4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5.75" customHeight="1" s="42">
      <c r="A70" s="4" t="n"/>
      <c r="B70" s="9" t="n"/>
      <c r="C70" s="4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5.75" customHeight="1" s="42">
      <c r="A71" s="4" t="n"/>
      <c r="B71" s="9" t="n"/>
      <c r="C71" s="4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5.75" customHeight="1" s="42">
      <c r="A72" s="4" t="n"/>
      <c r="B72" s="9" t="n"/>
      <c r="C72" s="4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5.75" customHeight="1" s="42">
      <c r="A73" s="4" t="n"/>
      <c r="B73" s="9" t="n"/>
      <c r="C73" s="4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5.75" customHeight="1" s="42">
      <c r="A74" s="4" t="n"/>
      <c r="B74" s="9" t="n"/>
      <c r="C74" s="4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5.75" customHeight="1" s="42">
      <c r="A75" s="4" t="n"/>
      <c r="B75" s="9" t="n"/>
      <c r="C75" s="4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5.75" customHeight="1" s="42">
      <c r="A76" s="4" t="n"/>
      <c r="B76" s="9" t="n"/>
      <c r="C76" s="4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5.75" customHeight="1" s="42">
      <c r="A77" s="4" t="n"/>
      <c r="B77" s="9" t="n"/>
      <c r="C77" s="4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5.75" customHeight="1" s="42">
      <c r="A78" s="4" t="n"/>
      <c r="B78" s="9" t="n"/>
      <c r="C78" s="4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5.75" customHeight="1" s="42">
      <c r="A79" s="4" t="n"/>
      <c r="B79" s="9" t="n"/>
      <c r="C79" s="4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5.75" customHeight="1" s="42">
      <c r="A80" s="4" t="n"/>
      <c r="B80" s="9" t="n"/>
      <c r="C80" s="4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5.75" customHeight="1" s="42">
      <c r="A81" s="4" t="n"/>
      <c r="B81" s="9" t="n"/>
      <c r="C81" s="4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5.75" customHeight="1" s="42">
      <c r="A82" s="4" t="n"/>
      <c r="B82" s="9" t="n"/>
      <c r="C82" s="4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5.75" customHeight="1" s="42">
      <c r="A83" s="4" t="n"/>
      <c r="B83" s="9" t="n"/>
      <c r="C83" s="4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5.75" customHeight="1" s="42">
      <c r="A84" s="4" t="n"/>
      <c r="B84" s="9" t="n"/>
      <c r="C84" s="4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5.75" customHeight="1" s="42">
      <c r="A85" s="4" t="n"/>
      <c r="B85" s="9" t="n"/>
      <c r="C85" s="4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5.75" customHeight="1" s="42">
      <c r="A86" s="4" t="n"/>
      <c r="B86" s="9" t="n"/>
      <c r="C86" s="4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5.75" customHeight="1" s="42">
      <c r="A87" s="4" t="n"/>
      <c r="B87" s="9" t="n"/>
      <c r="C87" s="4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5.75" customHeight="1" s="42">
      <c r="A88" s="4" t="n"/>
      <c r="B88" s="9" t="n"/>
      <c r="C88" s="4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5.75" customHeight="1" s="42">
      <c r="A89" s="4" t="n"/>
      <c r="B89" s="9" t="n"/>
      <c r="C89" s="4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5.75" customHeight="1" s="42">
      <c r="A90" s="4" t="n"/>
      <c r="B90" s="9" t="n"/>
      <c r="C90" s="4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5.75" customHeight="1" s="42">
      <c r="A91" s="4" t="n"/>
      <c r="B91" s="9" t="n"/>
      <c r="C91" s="4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5.75" customHeight="1" s="42">
      <c r="A92" s="4" t="n"/>
      <c r="B92" s="9" t="n"/>
      <c r="C92" s="4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5.75" customHeight="1" s="42">
      <c r="A93" s="4" t="n"/>
      <c r="B93" s="9" t="n"/>
      <c r="C93" s="4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5.75" customHeight="1" s="42">
      <c r="A94" s="4" t="n"/>
      <c r="B94" s="9" t="n"/>
      <c r="C94" s="4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5.75" customHeight="1" s="42">
      <c r="A95" s="4" t="n"/>
      <c r="B95" s="9" t="n"/>
      <c r="C95" s="4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5.75" customHeight="1" s="42">
      <c r="A96" s="4" t="n"/>
      <c r="B96" s="9" t="n"/>
      <c r="C96" s="4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5.75" customHeight="1" s="42">
      <c r="A97" s="4" t="n"/>
      <c r="B97" s="9" t="n"/>
      <c r="C97" s="4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5.75" customHeight="1" s="42">
      <c r="A98" s="4" t="n"/>
      <c r="B98" s="9" t="n"/>
      <c r="C98" s="4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5.75" customHeight="1" s="42">
      <c r="A99" s="4" t="n"/>
      <c r="B99" s="9" t="n"/>
      <c r="C99" s="4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5.75" customHeight="1" s="42">
      <c r="A100" s="4" t="n"/>
      <c r="B100" s="9" t="n"/>
      <c r="C100" s="4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5.75" customHeight="1" s="42">
      <c r="A101" s="4" t="n"/>
      <c r="B101" s="9" t="n"/>
      <c r="C101" s="4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5.75" customHeight="1" s="42">
      <c r="A102" s="4" t="n"/>
      <c r="B102" s="9" t="n"/>
      <c r="C102" s="4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5.75" customHeight="1" s="42">
      <c r="A103" s="4" t="n"/>
      <c r="B103" s="9" t="n"/>
      <c r="C103" s="4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5.75" customHeight="1" s="42">
      <c r="A104" s="4" t="n"/>
      <c r="B104" s="9" t="n"/>
      <c r="C104" s="4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5.75" customHeight="1" s="42">
      <c r="A105" s="4" t="n"/>
      <c r="B105" s="9" t="n"/>
      <c r="C105" s="4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5.75" customHeight="1" s="42">
      <c r="A106" s="4" t="n"/>
      <c r="B106" s="9" t="n"/>
      <c r="C106" s="4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5.75" customHeight="1" s="42">
      <c r="A107" s="4" t="n"/>
      <c r="B107" s="9" t="n"/>
      <c r="C107" s="4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5.75" customHeight="1" s="42">
      <c r="A108" s="4" t="n"/>
      <c r="B108" s="9" t="n"/>
      <c r="C108" s="4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5.75" customHeight="1" s="42">
      <c r="A109" s="4" t="n"/>
      <c r="B109" s="9" t="n"/>
      <c r="C109" s="4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5.75" customHeight="1" s="42">
      <c r="A110" s="4" t="n"/>
      <c r="B110" s="9" t="n"/>
      <c r="C110" s="4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5.75" customHeight="1" s="42">
      <c r="A111" s="4" t="n"/>
      <c r="B111" s="9" t="n"/>
      <c r="C111" s="4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5.75" customHeight="1" s="42">
      <c r="A112" s="4" t="n"/>
      <c r="B112" s="9" t="n"/>
      <c r="C112" s="4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5.75" customHeight="1" s="42">
      <c r="A113" s="4" t="n"/>
      <c r="B113" s="9" t="n"/>
      <c r="C113" s="4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5.75" customHeight="1" s="42">
      <c r="A114" s="4" t="n"/>
      <c r="B114" s="9" t="n"/>
      <c r="C114" s="4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5.75" customHeight="1" s="42">
      <c r="A115" s="4" t="n"/>
      <c r="B115" s="9" t="n"/>
      <c r="C115" s="4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5.75" customHeight="1" s="42">
      <c r="A116" s="4" t="n"/>
      <c r="B116" s="9" t="n"/>
      <c r="C116" s="4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5.75" customHeight="1" s="42">
      <c r="A117" s="4" t="n"/>
      <c r="B117" s="9" t="n"/>
      <c r="C117" s="4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5.75" customHeight="1" s="42">
      <c r="A118" s="4" t="n"/>
      <c r="B118" s="9" t="n"/>
      <c r="C118" s="4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5.75" customHeight="1" s="42">
      <c r="A119" s="4" t="n"/>
      <c r="B119" s="9" t="n"/>
      <c r="C119" s="4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5.75" customHeight="1" s="42">
      <c r="A120" s="4" t="n"/>
      <c r="B120" s="9" t="n"/>
      <c r="C120" s="4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5.75" customHeight="1" s="42">
      <c r="A121" s="4" t="n"/>
      <c r="B121" s="9" t="n"/>
      <c r="C121" s="4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5.75" customHeight="1" s="42">
      <c r="A122" s="4" t="n"/>
      <c r="B122" s="9" t="n"/>
      <c r="C122" s="4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5.75" customHeight="1" s="42">
      <c r="A123" s="4" t="n"/>
      <c r="B123" s="9" t="n"/>
      <c r="C123" s="4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5.75" customHeight="1" s="42">
      <c r="A124" s="4" t="n"/>
      <c r="B124" s="9" t="n"/>
      <c r="C124" s="4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5.75" customHeight="1" s="42">
      <c r="A125" s="4" t="n"/>
      <c r="B125" s="9" t="n"/>
      <c r="C125" s="4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5.75" customHeight="1" s="42">
      <c r="A126" s="4" t="n"/>
      <c r="B126" s="9" t="n"/>
      <c r="C126" s="4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5.75" customHeight="1" s="42">
      <c r="A127" s="4" t="n"/>
      <c r="B127" s="9" t="n"/>
      <c r="C127" s="4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5.75" customHeight="1" s="42">
      <c r="A128" s="4" t="n"/>
      <c r="B128" s="9" t="n"/>
      <c r="C128" s="4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5.75" customHeight="1" s="42">
      <c r="A129" s="4" t="n"/>
      <c r="B129" s="9" t="n"/>
      <c r="C129" s="4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5.75" customHeight="1" s="42">
      <c r="A130" s="4" t="n"/>
      <c r="B130" s="9" t="n"/>
      <c r="C130" s="4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42">
      <c r="A131" s="4" t="n"/>
      <c r="B131" s="9" t="n"/>
      <c r="C131" s="4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5.75" customHeight="1" s="42">
      <c r="A132" s="4" t="n"/>
      <c r="B132" s="9" t="n"/>
      <c r="C132" s="4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5.75" customHeight="1" s="42">
      <c r="A133" s="4" t="n"/>
      <c r="B133" s="9" t="n"/>
      <c r="C133" s="4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5.75" customHeight="1" s="42">
      <c r="A134" s="4" t="n"/>
      <c r="B134" s="9" t="n"/>
      <c r="C134" s="4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5.75" customHeight="1" s="42">
      <c r="A135" s="4" t="n"/>
      <c r="B135" s="9" t="n"/>
      <c r="C135" s="4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5.75" customHeight="1" s="42">
      <c r="A136" s="4" t="n"/>
      <c r="B136" s="9" t="n"/>
      <c r="C136" s="4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5.75" customHeight="1" s="42">
      <c r="A137" s="4" t="n"/>
      <c r="B137" s="9" t="n"/>
      <c r="C137" s="4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5.75" customHeight="1" s="42">
      <c r="A138" s="4" t="n"/>
      <c r="B138" s="9" t="n"/>
      <c r="C138" s="4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5.75" customHeight="1" s="42">
      <c r="A139" s="4" t="n"/>
      <c r="B139" s="9" t="n"/>
      <c r="C139" s="4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5.75" customHeight="1" s="42">
      <c r="A140" s="4" t="n"/>
      <c r="B140" s="9" t="n"/>
      <c r="C140" s="4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5.75" customHeight="1" s="42">
      <c r="A141" s="4" t="n"/>
      <c r="B141" s="9" t="n"/>
      <c r="C141" s="4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5.75" customHeight="1" s="42">
      <c r="A142" s="4" t="n"/>
      <c r="B142" s="9" t="n"/>
      <c r="C142" s="4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5.75" customHeight="1" s="42">
      <c r="A143" s="4" t="n"/>
      <c r="B143" s="9" t="n"/>
      <c r="C143" s="4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5.75" customHeight="1" s="42">
      <c r="A144" s="4" t="n"/>
      <c r="B144" s="9" t="n"/>
      <c r="C144" s="4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5.75" customHeight="1" s="42">
      <c r="A145" s="4" t="n"/>
      <c r="B145" s="9" t="n"/>
      <c r="C145" s="4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5.75" customHeight="1" s="42">
      <c r="A146" s="4" t="n"/>
      <c r="B146" s="9" t="n"/>
      <c r="C146" s="4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5.75" customHeight="1" s="42">
      <c r="A147" s="4" t="n"/>
      <c r="B147" s="9" t="n"/>
      <c r="C147" s="4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5.75" customHeight="1" s="42">
      <c r="A148" s="4" t="n"/>
      <c r="B148" s="9" t="n"/>
      <c r="C148" s="4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5.75" customHeight="1" s="42">
      <c r="A149" s="4" t="n"/>
      <c r="B149" s="9" t="n"/>
      <c r="C149" s="4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5.75" customHeight="1" s="42">
      <c r="A150" s="4" t="n"/>
      <c r="B150" s="9" t="n"/>
      <c r="C150" s="4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5.75" customHeight="1" s="42">
      <c r="A151" s="4" t="n"/>
      <c r="B151" s="9" t="n"/>
      <c r="C151" s="4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5.75" customHeight="1" s="42">
      <c r="A152" s="4" t="n"/>
      <c r="B152" s="9" t="n"/>
      <c r="C152" s="4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5.75" customHeight="1" s="42">
      <c r="A153" s="4" t="n"/>
      <c r="B153" s="9" t="n"/>
      <c r="C153" s="4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5.75" customHeight="1" s="42">
      <c r="A154" s="4" t="n"/>
      <c r="B154" s="9" t="n"/>
      <c r="C154" s="4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5.75" customHeight="1" s="42">
      <c r="A155" s="4" t="n"/>
      <c r="B155" s="9" t="n"/>
      <c r="C155" s="4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5.75" customHeight="1" s="42">
      <c r="A156" s="4" t="n"/>
      <c r="B156" s="9" t="n"/>
      <c r="C156" s="4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5.75" customHeight="1" s="42">
      <c r="A157" s="4" t="n"/>
      <c r="B157" s="9" t="n"/>
      <c r="C157" s="4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5.75" customHeight="1" s="42">
      <c r="A158" s="4" t="n"/>
      <c r="B158" s="9" t="n"/>
      <c r="C158" s="4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5.75" customHeight="1" s="42">
      <c r="A159" s="4" t="n"/>
      <c r="B159" s="9" t="n"/>
      <c r="C159" s="4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5.75" customHeight="1" s="42">
      <c r="A160" s="4" t="n"/>
      <c r="B160" s="9" t="n"/>
      <c r="C160" s="4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5.75" customHeight="1" s="42">
      <c r="A161" s="4" t="n"/>
      <c r="B161" s="9" t="n"/>
      <c r="C161" s="4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5.75" customHeight="1" s="42">
      <c r="A162" s="4" t="n"/>
      <c r="B162" s="9" t="n"/>
      <c r="C162" s="4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5.75" customHeight="1" s="42">
      <c r="A163" s="4" t="n"/>
      <c r="B163" s="9" t="n"/>
      <c r="C163" s="4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5.75" customHeight="1" s="42">
      <c r="A164" s="4" t="n"/>
      <c r="B164" s="9" t="n"/>
      <c r="C164" s="4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5.75" customHeight="1" s="42">
      <c r="A165" s="4" t="n"/>
      <c r="B165" s="9" t="n"/>
      <c r="C165" s="4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5.75" customHeight="1" s="42">
      <c r="A166" s="4" t="n"/>
      <c r="B166" s="9" t="n"/>
      <c r="C166" s="4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5.75" customHeight="1" s="42">
      <c r="A167" s="4" t="n"/>
      <c r="B167" s="9" t="n"/>
      <c r="C167" s="4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5.75" customHeight="1" s="42">
      <c r="A168" s="4" t="n"/>
      <c r="B168" s="9" t="n"/>
      <c r="C168" s="4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5.75" customHeight="1" s="42">
      <c r="A169" s="4" t="n"/>
      <c r="B169" s="9" t="n"/>
      <c r="C169" s="4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5.75" customHeight="1" s="42">
      <c r="A170" s="4" t="n"/>
      <c r="B170" s="9" t="n"/>
      <c r="C170" s="4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5.75" customHeight="1" s="42">
      <c r="A171" s="4" t="n"/>
      <c r="B171" s="9" t="n"/>
      <c r="C171" s="4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5.75" customHeight="1" s="42">
      <c r="A172" s="4" t="n"/>
      <c r="B172" s="9" t="n"/>
      <c r="C172" s="4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5.75" customHeight="1" s="42">
      <c r="A173" s="4" t="n"/>
      <c r="B173" s="9" t="n"/>
      <c r="C173" s="4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5.75" customHeight="1" s="42">
      <c r="A174" s="4" t="n"/>
      <c r="B174" s="9" t="n"/>
      <c r="C174" s="4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5.75" customHeight="1" s="42">
      <c r="A175" s="4" t="n"/>
      <c r="B175" s="9" t="n"/>
      <c r="C175" s="4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5.75" customHeight="1" s="42">
      <c r="A176" s="4" t="n"/>
      <c r="B176" s="9" t="n"/>
      <c r="C176" s="4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5.75" customHeight="1" s="42">
      <c r="A177" s="4" t="n"/>
      <c r="B177" s="9" t="n"/>
      <c r="C177" s="4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5.75" customHeight="1" s="42">
      <c r="A178" s="4" t="n"/>
      <c r="B178" s="9" t="n"/>
      <c r="C178" s="4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5.75" customHeight="1" s="42">
      <c r="A179" s="4" t="n"/>
      <c r="B179" s="9" t="n"/>
      <c r="C179" s="4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5.75" customHeight="1" s="42">
      <c r="A180" s="4" t="n"/>
      <c r="B180" s="9" t="n"/>
      <c r="C180" s="4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5.75" customHeight="1" s="42">
      <c r="A181" s="4" t="n"/>
      <c r="B181" s="9" t="n"/>
      <c r="C181" s="4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5.75" customHeight="1" s="42">
      <c r="A182" s="4" t="n"/>
      <c r="B182" s="9" t="n"/>
      <c r="C182" s="4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5.75" customHeight="1" s="42">
      <c r="A183" s="4" t="n"/>
      <c r="B183" s="9" t="n"/>
      <c r="C183" s="4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5.75" customHeight="1" s="42">
      <c r="A184" s="4" t="n"/>
      <c r="B184" s="9" t="n"/>
      <c r="C184" s="4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5.75" customHeight="1" s="42">
      <c r="A185" s="4" t="n"/>
      <c r="B185" s="9" t="n"/>
      <c r="C185" s="4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5.75" customHeight="1" s="42">
      <c r="A186" s="4" t="n"/>
      <c r="B186" s="9" t="n"/>
      <c r="C186" s="4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5.75" customHeight="1" s="42">
      <c r="A187" s="4" t="n"/>
      <c r="B187" s="9" t="n"/>
      <c r="C187" s="4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5.75" customHeight="1" s="42">
      <c r="A188" s="4" t="n"/>
      <c r="B188" s="9" t="n"/>
      <c r="C188" s="4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5.75" customHeight="1" s="42">
      <c r="A189" s="4" t="n"/>
      <c r="B189" s="9" t="n"/>
      <c r="C189" s="4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5.75" customHeight="1" s="42">
      <c r="A190" s="4" t="n"/>
      <c r="B190" s="9" t="n"/>
      <c r="C190" s="4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5.75" customHeight="1" s="42">
      <c r="A191" s="4" t="n"/>
      <c r="B191" s="9" t="n"/>
      <c r="C191" s="4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5.75" customHeight="1" s="42">
      <c r="A192" s="4" t="n"/>
      <c r="B192" s="9" t="n"/>
      <c r="C192" s="4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5.75" customHeight="1" s="42">
      <c r="A193" s="4" t="n"/>
      <c r="B193" s="9" t="n"/>
      <c r="C193" s="4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5.75" customHeight="1" s="42">
      <c r="A194" s="4" t="n"/>
      <c r="B194" s="9" t="n"/>
      <c r="C194" s="4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5.75" customHeight="1" s="42">
      <c r="A195" s="4" t="n"/>
      <c r="B195" s="9" t="n"/>
      <c r="C195" s="4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5.75" customHeight="1" s="42">
      <c r="A196" s="4" t="n"/>
      <c r="B196" s="9" t="n"/>
      <c r="C196" s="4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5.75" customHeight="1" s="42">
      <c r="A197" s="4" t="n"/>
      <c r="B197" s="9" t="n"/>
      <c r="C197" s="4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5.75" customHeight="1" s="42">
      <c r="A198" s="4" t="n"/>
      <c r="B198" s="9" t="n"/>
      <c r="C198" s="4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5.75" customHeight="1" s="42">
      <c r="A199" s="4" t="n"/>
      <c r="B199" s="9" t="n"/>
      <c r="C199" s="4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5.75" customHeight="1" s="42">
      <c r="A200" s="4" t="n"/>
      <c r="B200" s="9" t="n"/>
      <c r="C200" s="4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5.75" customHeight="1" s="42">
      <c r="A201" s="4" t="n"/>
      <c r="B201" s="9" t="n"/>
      <c r="C201" s="4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5.75" customHeight="1" s="42">
      <c r="A202" s="4" t="n"/>
      <c r="B202" s="9" t="n"/>
      <c r="C202" s="4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5.75" customHeight="1" s="42">
      <c r="A203" s="4" t="n"/>
      <c r="B203" s="9" t="n"/>
      <c r="C203" s="4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5.75" customHeight="1" s="42">
      <c r="A204" s="4" t="n"/>
      <c r="B204" s="9" t="n"/>
      <c r="C204" s="4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5.75" customHeight="1" s="42">
      <c r="A205" s="4" t="n"/>
      <c r="B205" s="9" t="n"/>
      <c r="C205" s="4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5.75" customHeight="1" s="42">
      <c r="A206" s="4" t="n"/>
      <c r="B206" s="9" t="n"/>
      <c r="C206" s="4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5.75" customHeight="1" s="42">
      <c r="A207" s="4" t="n"/>
      <c r="B207" s="9" t="n"/>
      <c r="C207" s="4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5.75" customHeight="1" s="42">
      <c r="A208" s="4" t="n"/>
      <c r="B208" s="9" t="n"/>
      <c r="C208" s="4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5.75" customHeight="1" s="42">
      <c r="A209" s="4" t="n"/>
      <c r="B209" s="9" t="n"/>
      <c r="C209" s="4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5.75" customHeight="1" s="42">
      <c r="A210" s="4" t="n"/>
      <c r="B210" s="9" t="n"/>
      <c r="C210" s="4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5.75" customHeight="1" s="42">
      <c r="A211" s="4" t="n"/>
      <c r="B211" s="9" t="n"/>
      <c r="C211" s="4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5.75" customHeight="1" s="42">
      <c r="A212" s="4" t="n"/>
      <c r="B212" s="9" t="n"/>
      <c r="C212" s="4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5.75" customHeight="1" s="42">
      <c r="A213" s="4" t="n"/>
      <c r="B213" s="9" t="n"/>
      <c r="C213" s="4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5.75" customHeight="1" s="42">
      <c r="A214" s="4" t="n"/>
      <c r="B214" s="9" t="n"/>
      <c r="C214" s="4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42">
      <c r="A215" s="4" t="n"/>
      <c r="B215" s="9" t="n"/>
      <c r="C215" s="4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5.75" customHeight="1" s="42">
      <c r="A216" s="4" t="n"/>
      <c r="B216" s="9" t="n"/>
      <c r="C216" s="4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5.75" customHeight="1" s="42">
      <c r="A217" s="4" t="n"/>
      <c r="B217" s="9" t="n"/>
      <c r="C217" s="4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5.75" customHeight="1" s="42">
      <c r="A218" s="4" t="n"/>
      <c r="B218" s="9" t="n"/>
      <c r="C218" s="4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5.75" customHeight="1" s="42">
      <c r="A219" s="4" t="n"/>
      <c r="B219" s="9" t="n"/>
      <c r="C219" s="4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5.75" customHeight="1" s="42">
      <c r="A220" s="4" t="n"/>
      <c r="B220" s="9" t="n"/>
      <c r="C220" s="4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4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</row>
    <row r="222" ht="15.75" customHeight="1" s="4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</row>
    <row r="223" ht="15.75" customHeight="1" s="4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</row>
    <row r="224" ht="15.75" customHeight="1" s="4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</row>
    <row r="225" ht="15.75" customHeight="1" s="4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7"/>
    <col width="8.710000000000001" customWidth="1" style="42" min="8" max="26"/>
  </cols>
  <sheetData>
    <row r="1" ht="17.25" customHeight="1" s="42">
      <c r="A1" s="1" t="inlineStr">
        <is>
          <t>Historique financier Michelin</t>
        </is>
      </c>
      <c r="B1" s="11" t="n"/>
      <c r="C1" s="11" t="n"/>
      <c r="D1" s="11" t="n"/>
      <c r="E1" s="11" t="n"/>
      <c r="F1" s="11" t="n"/>
      <c r="G1" s="11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24.75" customHeight="1" s="42">
      <c r="A2" s="5" t="inlineStr">
        <is>
          <t>Source: fichier officiel Michelin key figures 2020-2025</t>
        </is>
      </c>
      <c r="B2" s="11" t="n"/>
      <c r="C2" s="11" t="n"/>
      <c r="D2" s="11" t="n"/>
      <c r="E2" s="11" t="n"/>
      <c r="F2" s="11" t="n"/>
      <c r="G2" s="11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7.25" customHeight="1" s="42">
      <c r="A3" s="6" t="n"/>
      <c r="B3" s="12" t="n">
        <v>2020</v>
      </c>
      <c r="C3" s="12" t="n">
        <v>2021</v>
      </c>
      <c r="D3" s="12" t="n">
        <v>2022</v>
      </c>
      <c r="E3" s="12" t="n">
        <v>2023</v>
      </c>
      <c r="F3" s="12" t="n">
        <v>2024</v>
      </c>
      <c r="G3" s="12" t="n">
        <v>2025</v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7.25" customHeight="1" s="42">
      <c r="A4" s="13" t="inlineStr">
        <is>
          <t>Chiffre d'affaires</t>
        </is>
      </c>
      <c r="B4" s="14" t="n">
        <v>20469</v>
      </c>
      <c r="C4" s="14" t="n">
        <v>23795</v>
      </c>
      <c r="D4" s="14" t="n">
        <v>28590</v>
      </c>
      <c r="E4" s="14" t="n">
        <v>28343</v>
      </c>
      <c r="F4" s="14" t="n">
        <v>27193</v>
      </c>
      <c r="G4" s="14" t="n">
        <v>25992.1770495612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7.25" customHeight="1" s="42">
      <c r="A5" s="13" t="inlineStr">
        <is>
          <t>Croissance CA</t>
        </is>
      </c>
      <c r="B5" s="15" t="n">
        <v>-0.152</v>
      </c>
      <c r="C5" s="15">
        <f>(C4-B4)/B4</f>
        <v/>
      </c>
      <c r="D5" s="15">
        <f>(D4-C4)/C4</f>
        <v/>
      </c>
      <c r="E5" s="15">
        <f>(E4-D4)/D4</f>
        <v/>
      </c>
      <c r="F5" s="15">
        <f>(F4-E4)/E4</f>
        <v/>
      </c>
      <c r="G5" s="15">
        <f>(G4-F4)/F4</f>
        <v/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7.25" customHeight="1" s="42">
      <c r="A6" s="13" t="inlineStr">
        <is>
          <t>Segment EBITDA</t>
        </is>
      </c>
      <c r="B6" s="14" t="n">
        <v>3631</v>
      </c>
      <c r="C6" s="14" t="n">
        <v>4700</v>
      </c>
      <c r="D6" s="14" t="n">
        <v>5262</v>
      </c>
      <c r="E6" s="14" t="n">
        <v>5489</v>
      </c>
      <c r="F6" s="14" t="n">
        <v>5361.03125847017</v>
      </c>
      <c r="G6" s="14" t="n">
        <v>4662.71205215706</v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7.25" customHeight="1" s="42">
      <c r="A7" s="13" t="inlineStr">
        <is>
          <t>Marge EBITDA</t>
        </is>
      </c>
      <c r="B7" s="15">
        <f>B6/B4</f>
        <v/>
      </c>
      <c r="C7" s="15">
        <f>C6/C4</f>
        <v/>
      </c>
      <c r="D7" s="15">
        <f>D6/D4</f>
        <v/>
      </c>
      <c r="E7" s="15">
        <f>E6/E4</f>
        <v/>
      </c>
      <c r="F7" s="15">
        <f>F6/F4</f>
        <v/>
      </c>
      <c r="G7" s="15">
        <f>G6/G4</f>
        <v/>
      </c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7.25" customHeight="1" s="42">
      <c r="A8" s="13" t="inlineStr">
        <is>
          <t>Resultat operationnel des secteurs</t>
        </is>
      </c>
      <c r="B8" s="14" t="n">
        <v>1878</v>
      </c>
      <c r="C8" s="14" t="n">
        <v>2966</v>
      </c>
      <c r="D8" s="14" t="n">
        <v>3396</v>
      </c>
      <c r="E8" s="14" t="n">
        <v>3572</v>
      </c>
      <c r="F8" s="14" t="n">
        <v>3378</v>
      </c>
      <c r="G8" s="14" t="n">
        <v>2719.218638651149</v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7.25" customHeight="1" s="42">
      <c r="A9" s="13" t="inlineStr">
        <is>
          <t>Marge operationnelle secteurs</t>
        </is>
      </c>
      <c r="B9" s="16">
        <f>B8/B4</f>
        <v/>
      </c>
      <c r="C9" s="16">
        <f>C8/C4</f>
        <v/>
      </c>
      <c r="D9" s="16">
        <f>D8/D4</f>
        <v/>
      </c>
      <c r="E9" s="16">
        <f>E8/E4</f>
        <v/>
      </c>
      <c r="F9" s="16">
        <f>F8/F4</f>
        <v/>
      </c>
      <c r="G9" s="16">
        <f>G8/G4</f>
        <v/>
      </c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7.25" customHeight="1" s="42">
      <c r="A10" s="13" t="inlineStr">
        <is>
          <t>Resultat operationnel</t>
        </is>
      </c>
      <c r="B10" s="14" t="n">
        <v>1403</v>
      </c>
      <c r="C10" s="14" t="n">
        <v>2777</v>
      </c>
      <c r="D10" s="14" t="n">
        <v>3021</v>
      </c>
      <c r="E10" s="14" t="n">
        <v>2652</v>
      </c>
      <c r="F10" s="14" t="n">
        <v>2631</v>
      </c>
      <c r="G10" s="14" t="n">
        <v>2366.12937876237</v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7.25" customHeight="1" s="42">
      <c r="A11" s="13" t="inlineStr">
        <is>
          <t>Resultat net</t>
        </is>
      </c>
      <c r="B11" s="14" t="n">
        <v>625</v>
      </c>
      <c r="C11" s="14" t="n">
        <v>1845</v>
      </c>
      <c r="D11" s="14" t="n">
        <v>2009</v>
      </c>
      <c r="E11" s="14" t="n">
        <v>1983</v>
      </c>
      <c r="F11" s="14" t="n">
        <v>1890</v>
      </c>
      <c r="G11" s="14" t="n">
        <v>1663.96797692861</v>
      </c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7.25" customHeight="1" s="42">
      <c r="A12" s="13" t="inlineStr">
        <is>
          <t>Marge nette</t>
        </is>
      </c>
      <c r="B12" s="15">
        <f>B11/B4</f>
        <v/>
      </c>
      <c r="C12" s="15">
        <f>C11/C4</f>
        <v/>
      </c>
      <c r="D12" s="15">
        <f>D11/D4</f>
        <v/>
      </c>
      <c r="E12" s="15">
        <f>E11/E4</f>
        <v/>
      </c>
      <c r="F12" s="15">
        <f>F11/F4</f>
        <v/>
      </c>
      <c r="G12" s="15">
        <f>G11/G4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7.25" customHeight="1" s="42">
      <c r="A13" s="13" t="inlineStr">
        <is>
          <t>Cash-flow operationnel</t>
        </is>
      </c>
      <c r="B13" s="14" t="n">
        <v>3366</v>
      </c>
      <c r="C13" s="14" t="n">
        <v>2906</v>
      </c>
      <c r="D13" s="14" t="n">
        <v>1931</v>
      </c>
      <c r="E13" s="14" t="n">
        <v>5287</v>
      </c>
      <c r="F13" s="14" t="n">
        <v>4336</v>
      </c>
      <c r="G13" s="14" t="n">
        <v>3819.414178391924</v>
      </c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7.25" customHeight="1" s="42">
      <c r="A14" s="13" t="inlineStr">
        <is>
          <t>Capex</t>
        </is>
      </c>
      <c r="B14" s="14" t="n">
        <v>1221</v>
      </c>
      <c r="C14" s="14" t="n">
        <v>1705</v>
      </c>
      <c r="D14" s="14" t="n">
        <v>2141</v>
      </c>
      <c r="E14" s="14" t="n">
        <v>2236</v>
      </c>
      <c r="F14" s="14" t="n">
        <v>2182</v>
      </c>
      <c r="G14" s="14" t="n">
        <v>1967</v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7.25" customHeight="1" s="42">
      <c r="A15" s="13" t="inlineStr">
        <is>
          <t>Capex / CA</t>
        </is>
      </c>
      <c r="B15" s="15">
        <f>B14/B4</f>
        <v/>
      </c>
      <c r="C15" s="15">
        <f>C14/C4</f>
        <v/>
      </c>
      <c r="D15" s="15">
        <f>D14/D4</f>
        <v/>
      </c>
      <c r="E15" s="15">
        <f>E14/E4</f>
        <v/>
      </c>
      <c r="F15" s="15">
        <f>F14/F4</f>
        <v/>
      </c>
      <c r="G15" s="15">
        <f>G14/G4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7.25" customHeight="1" s="42">
      <c r="A16" s="13" t="inlineStr">
        <is>
          <t>Free cash-flow</t>
        </is>
      </c>
      <c r="B16" s="14" t="n">
        <v>2004</v>
      </c>
      <c r="C16" s="14" t="n">
        <v>1357</v>
      </c>
      <c r="D16" s="14" t="n">
        <v>-180.3</v>
      </c>
      <c r="E16" s="14" t="n">
        <v>2342.8</v>
      </c>
      <c r="F16" s="14" t="n">
        <v>2225.4</v>
      </c>
      <c r="G16" s="14" t="n">
        <v>2181</v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7.25" customHeight="1" s="42">
      <c r="A17" s="13" t="inlineStr">
        <is>
          <t>FCF / CA</t>
        </is>
      </c>
      <c r="B17" s="15">
        <f>B16/B4</f>
        <v/>
      </c>
      <c r="C17" s="15">
        <f>C16/C4</f>
        <v/>
      </c>
      <c r="D17" s="15">
        <f>D16/D4</f>
        <v/>
      </c>
      <c r="E17" s="15">
        <f>E16/E4</f>
        <v/>
      </c>
      <c r="F17" s="15">
        <f>F16/F4</f>
        <v/>
      </c>
      <c r="G17" s="15">
        <f>G16/G4</f>
        <v/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7.25" customHeight="1" s="42">
      <c r="A18" s="13" t="inlineStr">
        <is>
          <t>Dette nette</t>
        </is>
      </c>
      <c r="B18" s="14" t="n">
        <v>3531</v>
      </c>
      <c r="C18" s="14" t="n">
        <v>2789</v>
      </c>
      <c r="D18" s="14" t="n">
        <v>4320</v>
      </c>
      <c r="E18" s="14" t="n">
        <v>3280.8</v>
      </c>
      <c r="F18" s="14" t="n">
        <v>3112</v>
      </c>
      <c r="G18" s="14" t="n">
        <v>2345</v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7.25" customHeight="1" s="42">
      <c r="A19" s="13" t="inlineStr">
        <is>
          <t>Dette nette / EBITDA</t>
        </is>
      </c>
      <c r="B19" s="17">
        <f>B18/B6</f>
        <v/>
      </c>
      <c r="C19" s="17">
        <f>C18/C6</f>
        <v/>
      </c>
      <c r="D19" s="17">
        <f>D18/D6</f>
        <v/>
      </c>
      <c r="E19" s="17">
        <f>E18/E6</f>
        <v/>
      </c>
      <c r="F19" s="17">
        <f>F18/F6</f>
        <v/>
      </c>
      <c r="G19" s="17">
        <f>G18/G6</f>
        <v/>
      </c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18" t="n"/>
      <c r="C20" s="18" t="n"/>
      <c r="D20" s="18" t="n"/>
      <c r="E20" s="18" t="n"/>
      <c r="F20" s="18" t="n"/>
      <c r="G20" s="18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5.75" customHeight="1" s="42">
      <c r="A21" s="4" t="n"/>
      <c r="B21" s="18" t="n"/>
      <c r="C21" s="18" t="n"/>
      <c r="D21" s="18" t="n"/>
      <c r="E21" s="18" t="n"/>
      <c r="F21" s="18" t="n"/>
      <c r="G21" s="18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5.75" customHeight="1" s="42">
      <c r="A22" s="4" t="n"/>
      <c r="B22" s="18" t="n"/>
      <c r="C22" s="18" t="n"/>
      <c r="D22" s="18" t="n"/>
      <c r="E22" s="18" t="n"/>
      <c r="F22" s="18" t="n"/>
      <c r="G22" s="18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5.75" customHeight="1" s="42">
      <c r="A23" s="4" t="n"/>
      <c r="B23" s="18" t="n"/>
      <c r="C23" s="18" t="n"/>
      <c r="D23" s="18" t="n"/>
      <c r="E23" s="18" t="n"/>
      <c r="F23" s="18" t="n"/>
      <c r="G23" s="18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5.75" customHeight="1" s="42">
      <c r="A24" s="4" t="n"/>
      <c r="B24" s="18" t="n"/>
      <c r="C24" s="18" t="n"/>
      <c r="D24" s="18" t="n"/>
      <c r="E24" s="18" t="n"/>
      <c r="F24" s="18" t="n"/>
      <c r="G24" s="18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5.75" customHeight="1" s="42">
      <c r="A25" s="4" t="n"/>
      <c r="B25" s="18" t="n"/>
      <c r="C25" s="18" t="n"/>
      <c r="D25" s="18" t="n"/>
      <c r="E25" s="18" t="n"/>
      <c r="F25" s="18" t="n"/>
      <c r="G25" s="18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5.75" customHeight="1" s="42">
      <c r="A26" s="4" t="n"/>
      <c r="B26" s="18" t="n"/>
      <c r="C26" s="18" t="n"/>
      <c r="D26" s="18" t="n"/>
      <c r="E26" s="18" t="n"/>
      <c r="F26" s="18" t="n"/>
      <c r="G26" s="18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5.75" customHeight="1" s="42">
      <c r="A27" s="4" t="n"/>
      <c r="B27" s="18" t="n"/>
      <c r="C27" s="18" t="n"/>
      <c r="D27" s="18" t="n"/>
      <c r="E27" s="18" t="n"/>
      <c r="F27" s="18" t="n"/>
      <c r="G27" s="18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5.75" customHeight="1" s="42">
      <c r="A28" s="4" t="n"/>
      <c r="B28" s="18" t="n"/>
      <c r="C28" s="18" t="n"/>
      <c r="D28" s="18" t="n"/>
      <c r="E28" s="18" t="n"/>
      <c r="F28" s="18" t="n"/>
      <c r="G28" s="18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5.75" customHeight="1" s="42">
      <c r="A29" s="4" t="n"/>
      <c r="B29" s="18" t="n"/>
      <c r="C29" s="18" t="n"/>
      <c r="D29" s="18" t="n"/>
      <c r="E29" s="18" t="n"/>
      <c r="F29" s="18" t="n"/>
      <c r="G29" s="18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5.75" customHeight="1" s="42">
      <c r="A30" s="4" t="n"/>
      <c r="B30" s="18" t="n"/>
      <c r="C30" s="18" t="n"/>
      <c r="D30" s="18" t="n"/>
      <c r="E30" s="18" t="n"/>
      <c r="F30" s="18" t="n"/>
      <c r="G30" s="18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5.75" customHeight="1" s="42">
      <c r="A31" s="4" t="n"/>
      <c r="B31" s="18" t="n"/>
      <c r="C31" s="18" t="n"/>
      <c r="D31" s="18" t="n"/>
      <c r="E31" s="18" t="n"/>
      <c r="F31" s="18" t="n"/>
      <c r="G31" s="18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5.75" customHeight="1" s="42">
      <c r="A32" s="4" t="n"/>
      <c r="B32" s="18" t="n"/>
      <c r="C32" s="18" t="n"/>
      <c r="D32" s="18" t="n"/>
      <c r="E32" s="18" t="n"/>
      <c r="F32" s="18" t="n"/>
      <c r="G32" s="18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5.75" customHeight="1" s="42">
      <c r="A33" s="4" t="n"/>
      <c r="B33" s="18" t="n"/>
      <c r="C33" s="18" t="n"/>
      <c r="D33" s="18" t="n"/>
      <c r="E33" s="18" t="n"/>
      <c r="F33" s="18" t="n"/>
      <c r="G33" s="18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5.75" customHeight="1" s="42">
      <c r="A34" s="4" t="n"/>
      <c r="B34" s="18" t="n"/>
      <c r="C34" s="18" t="n"/>
      <c r="D34" s="18" t="n"/>
      <c r="E34" s="18" t="n"/>
      <c r="F34" s="18" t="n"/>
      <c r="G34" s="18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5.75" customHeight="1" s="42">
      <c r="A35" s="4" t="n"/>
      <c r="B35" s="18" t="n"/>
      <c r="C35" s="18" t="n"/>
      <c r="D35" s="18" t="n"/>
      <c r="E35" s="18" t="n"/>
      <c r="F35" s="18" t="n"/>
      <c r="G35" s="18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5.75" customHeight="1" s="42">
      <c r="A36" s="4" t="n"/>
      <c r="B36" s="18" t="n"/>
      <c r="C36" s="18" t="n"/>
      <c r="D36" s="18" t="n"/>
      <c r="E36" s="18" t="n"/>
      <c r="F36" s="18" t="n"/>
      <c r="G36" s="18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5.75" customHeight="1" s="42">
      <c r="A37" s="4" t="n"/>
      <c r="B37" s="18" t="n"/>
      <c r="C37" s="18" t="n"/>
      <c r="D37" s="18" t="n"/>
      <c r="E37" s="18" t="n"/>
      <c r="F37" s="18" t="n"/>
      <c r="G37" s="18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5.75" customHeight="1" s="42">
      <c r="A38" s="4" t="n"/>
      <c r="B38" s="18" t="n"/>
      <c r="C38" s="18" t="n"/>
      <c r="D38" s="18" t="n"/>
      <c r="E38" s="18" t="n"/>
      <c r="F38" s="18" t="n"/>
      <c r="G38" s="18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5.75" customHeight="1" s="42">
      <c r="A39" s="4" t="n"/>
      <c r="B39" s="18" t="n"/>
      <c r="C39" s="18" t="n"/>
      <c r="D39" s="18" t="n"/>
      <c r="E39" s="18" t="n"/>
      <c r="F39" s="18" t="n"/>
      <c r="G39" s="18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5.75" customHeight="1" s="42">
      <c r="A40" s="4" t="n"/>
      <c r="B40" s="18" t="n"/>
      <c r="C40" s="18" t="n"/>
      <c r="D40" s="18" t="n"/>
      <c r="E40" s="18" t="n"/>
      <c r="F40" s="18" t="n"/>
      <c r="G40" s="18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5.75" customHeight="1" s="42">
      <c r="A41" s="4" t="n"/>
      <c r="B41" s="18" t="n"/>
      <c r="C41" s="18" t="n"/>
      <c r="D41" s="18" t="n"/>
      <c r="E41" s="18" t="n"/>
      <c r="F41" s="18" t="n"/>
      <c r="G41" s="18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5.75" customHeight="1" s="42">
      <c r="A42" s="4" t="n"/>
      <c r="B42" s="18" t="n"/>
      <c r="C42" s="18" t="n"/>
      <c r="D42" s="18" t="n"/>
      <c r="E42" s="18" t="n"/>
      <c r="F42" s="18" t="n"/>
      <c r="G42" s="18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5.75" customHeight="1" s="42">
      <c r="A43" s="4" t="n"/>
      <c r="B43" s="18" t="n"/>
      <c r="C43" s="18" t="n"/>
      <c r="D43" s="18" t="n"/>
      <c r="E43" s="18" t="n"/>
      <c r="F43" s="18" t="n"/>
      <c r="G43" s="18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5.75" customHeight="1" s="42">
      <c r="A44" s="4" t="n"/>
      <c r="B44" s="18" t="n"/>
      <c r="C44" s="18" t="n"/>
      <c r="D44" s="18" t="n"/>
      <c r="E44" s="18" t="n"/>
      <c r="F44" s="18" t="n"/>
      <c r="G44" s="18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5.75" customHeight="1" s="42">
      <c r="A45" s="4" t="n"/>
      <c r="B45" s="18" t="n"/>
      <c r="C45" s="18" t="n"/>
      <c r="D45" s="18" t="n"/>
      <c r="E45" s="18" t="n"/>
      <c r="F45" s="18" t="n"/>
      <c r="G45" s="18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5.75" customHeight="1" s="42">
      <c r="A46" s="4" t="n"/>
      <c r="B46" s="18" t="n"/>
      <c r="C46" s="18" t="n"/>
      <c r="D46" s="18" t="n"/>
      <c r="E46" s="18" t="n"/>
      <c r="F46" s="18" t="n"/>
      <c r="G46" s="18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5.75" customHeight="1" s="42">
      <c r="A47" s="4" t="n"/>
      <c r="B47" s="18" t="n"/>
      <c r="C47" s="18" t="n"/>
      <c r="D47" s="18" t="n"/>
      <c r="E47" s="18" t="n"/>
      <c r="F47" s="18" t="n"/>
      <c r="G47" s="18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5.75" customHeight="1" s="42">
      <c r="A48" s="4" t="n"/>
      <c r="B48" s="18" t="n"/>
      <c r="C48" s="18" t="n"/>
      <c r="D48" s="18" t="n"/>
      <c r="E48" s="18" t="n"/>
      <c r="F48" s="18" t="n"/>
      <c r="G48" s="18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5.75" customHeight="1" s="42">
      <c r="A49" s="4" t="n"/>
      <c r="B49" s="18" t="n"/>
      <c r="C49" s="18" t="n"/>
      <c r="D49" s="18" t="n"/>
      <c r="E49" s="18" t="n"/>
      <c r="F49" s="18" t="n"/>
      <c r="G49" s="18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5.75" customHeight="1" s="42">
      <c r="A50" s="4" t="n"/>
      <c r="B50" s="18" t="n"/>
      <c r="C50" s="18" t="n"/>
      <c r="D50" s="18" t="n"/>
      <c r="E50" s="18" t="n"/>
      <c r="F50" s="18" t="n"/>
      <c r="G50" s="18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5.75" customHeight="1" s="42">
      <c r="A51" s="4" t="n"/>
      <c r="B51" s="18" t="n"/>
      <c r="C51" s="18" t="n"/>
      <c r="D51" s="18" t="n"/>
      <c r="E51" s="18" t="n"/>
      <c r="F51" s="18" t="n"/>
      <c r="G51" s="18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5.75" customHeight="1" s="42">
      <c r="A52" s="4" t="n"/>
      <c r="B52" s="18" t="n"/>
      <c r="C52" s="18" t="n"/>
      <c r="D52" s="18" t="n"/>
      <c r="E52" s="18" t="n"/>
      <c r="F52" s="18" t="n"/>
      <c r="G52" s="18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5.75" customHeight="1" s="42">
      <c r="A53" s="4" t="n"/>
      <c r="B53" s="18" t="n"/>
      <c r="C53" s="18" t="n"/>
      <c r="D53" s="18" t="n"/>
      <c r="E53" s="18" t="n"/>
      <c r="F53" s="18" t="n"/>
      <c r="G53" s="18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5.75" customHeight="1" s="42">
      <c r="A54" s="4" t="n"/>
      <c r="B54" s="18" t="n"/>
      <c r="C54" s="18" t="n"/>
      <c r="D54" s="18" t="n"/>
      <c r="E54" s="18" t="n"/>
      <c r="F54" s="18" t="n"/>
      <c r="G54" s="18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5.75" customHeight="1" s="42">
      <c r="A55" s="4" t="n"/>
      <c r="B55" s="18" t="n"/>
      <c r="C55" s="18" t="n"/>
      <c r="D55" s="18" t="n"/>
      <c r="E55" s="18" t="n"/>
      <c r="F55" s="18" t="n"/>
      <c r="G55" s="18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5.75" customHeight="1" s="42">
      <c r="A56" s="4" t="n"/>
      <c r="B56" s="18" t="n"/>
      <c r="C56" s="18" t="n"/>
      <c r="D56" s="18" t="n"/>
      <c r="E56" s="18" t="n"/>
      <c r="F56" s="18" t="n"/>
      <c r="G56" s="18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5.75" customHeight="1" s="42">
      <c r="A57" s="4" t="n"/>
      <c r="B57" s="18" t="n"/>
      <c r="C57" s="18" t="n"/>
      <c r="D57" s="18" t="n"/>
      <c r="E57" s="18" t="n"/>
      <c r="F57" s="18" t="n"/>
      <c r="G57" s="18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5.75" customHeight="1" s="42">
      <c r="A58" s="4" t="n"/>
      <c r="B58" s="18" t="n"/>
      <c r="C58" s="18" t="n"/>
      <c r="D58" s="18" t="n"/>
      <c r="E58" s="18" t="n"/>
      <c r="F58" s="18" t="n"/>
      <c r="G58" s="18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5.75" customHeight="1" s="42">
      <c r="A59" s="4" t="n"/>
      <c r="B59" s="18" t="n"/>
      <c r="C59" s="18" t="n"/>
      <c r="D59" s="18" t="n"/>
      <c r="E59" s="18" t="n"/>
      <c r="F59" s="18" t="n"/>
      <c r="G59" s="18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5.75" customHeight="1" s="42">
      <c r="A60" s="4" t="n"/>
      <c r="B60" s="18" t="n"/>
      <c r="C60" s="18" t="n"/>
      <c r="D60" s="18" t="n"/>
      <c r="E60" s="18" t="n"/>
      <c r="F60" s="18" t="n"/>
      <c r="G60" s="18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5.75" customHeight="1" s="42">
      <c r="A61" s="4" t="n"/>
      <c r="B61" s="18" t="n"/>
      <c r="C61" s="18" t="n"/>
      <c r="D61" s="18" t="n"/>
      <c r="E61" s="18" t="n"/>
      <c r="F61" s="18" t="n"/>
      <c r="G61" s="18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5.75" customHeight="1" s="42">
      <c r="A62" s="4" t="n"/>
      <c r="B62" s="18" t="n"/>
      <c r="C62" s="18" t="n"/>
      <c r="D62" s="18" t="n"/>
      <c r="E62" s="18" t="n"/>
      <c r="F62" s="18" t="n"/>
      <c r="G62" s="1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5.75" customHeight="1" s="42">
      <c r="A63" s="4" t="n"/>
      <c r="B63" s="18" t="n"/>
      <c r="C63" s="18" t="n"/>
      <c r="D63" s="18" t="n"/>
      <c r="E63" s="18" t="n"/>
      <c r="F63" s="18" t="n"/>
      <c r="G63" s="18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5.75" customHeight="1" s="42">
      <c r="A64" s="4" t="n"/>
      <c r="B64" s="18" t="n"/>
      <c r="C64" s="18" t="n"/>
      <c r="D64" s="18" t="n"/>
      <c r="E64" s="18" t="n"/>
      <c r="F64" s="18" t="n"/>
      <c r="G64" s="1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5.75" customHeight="1" s="42">
      <c r="A65" s="4" t="n"/>
      <c r="B65" s="18" t="n"/>
      <c r="C65" s="18" t="n"/>
      <c r="D65" s="18" t="n"/>
      <c r="E65" s="18" t="n"/>
      <c r="F65" s="18" t="n"/>
      <c r="G65" s="18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5.75" customHeight="1" s="42">
      <c r="A66" s="4" t="n"/>
      <c r="B66" s="18" t="n"/>
      <c r="C66" s="18" t="n"/>
      <c r="D66" s="18" t="n"/>
      <c r="E66" s="18" t="n"/>
      <c r="F66" s="18" t="n"/>
      <c r="G66" s="18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5.75" customHeight="1" s="42">
      <c r="A67" s="4" t="n"/>
      <c r="B67" s="18" t="n"/>
      <c r="C67" s="18" t="n"/>
      <c r="D67" s="18" t="n"/>
      <c r="E67" s="18" t="n"/>
      <c r="F67" s="18" t="n"/>
      <c r="G67" s="18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5.75" customHeight="1" s="42">
      <c r="A68" s="4" t="n"/>
      <c r="B68" s="18" t="n"/>
      <c r="C68" s="18" t="n"/>
      <c r="D68" s="18" t="n"/>
      <c r="E68" s="18" t="n"/>
      <c r="F68" s="18" t="n"/>
      <c r="G68" s="18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5.75" customHeight="1" s="42">
      <c r="A69" s="4" t="n"/>
      <c r="B69" s="18" t="n"/>
      <c r="C69" s="18" t="n"/>
      <c r="D69" s="18" t="n"/>
      <c r="E69" s="18" t="n"/>
      <c r="F69" s="18" t="n"/>
      <c r="G69" s="18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5.75" customHeight="1" s="42">
      <c r="A70" s="4" t="n"/>
      <c r="B70" s="18" t="n"/>
      <c r="C70" s="18" t="n"/>
      <c r="D70" s="18" t="n"/>
      <c r="E70" s="18" t="n"/>
      <c r="F70" s="18" t="n"/>
      <c r="G70" s="18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5.75" customHeight="1" s="42">
      <c r="A71" s="4" t="n"/>
      <c r="B71" s="18" t="n"/>
      <c r="C71" s="18" t="n"/>
      <c r="D71" s="18" t="n"/>
      <c r="E71" s="18" t="n"/>
      <c r="F71" s="18" t="n"/>
      <c r="G71" s="18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5.75" customHeight="1" s="42">
      <c r="A72" s="4" t="n"/>
      <c r="B72" s="18" t="n"/>
      <c r="C72" s="18" t="n"/>
      <c r="D72" s="18" t="n"/>
      <c r="E72" s="18" t="n"/>
      <c r="F72" s="18" t="n"/>
      <c r="G72" s="18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5.75" customHeight="1" s="42">
      <c r="A73" s="4" t="n"/>
      <c r="B73" s="18" t="n"/>
      <c r="C73" s="18" t="n"/>
      <c r="D73" s="18" t="n"/>
      <c r="E73" s="18" t="n"/>
      <c r="F73" s="18" t="n"/>
      <c r="G73" s="18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5.75" customHeight="1" s="42">
      <c r="A74" s="4" t="n"/>
      <c r="B74" s="18" t="n"/>
      <c r="C74" s="18" t="n"/>
      <c r="D74" s="18" t="n"/>
      <c r="E74" s="18" t="n"/>
      <c r="F74" s="18" t="n"/>
      <c r="G74" s="18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5.75" customHeight="1" s="42">
      <c r="A75" s="4" t="n"/>
      <c r="B75" s="18" t="n"/>
      <c r="C75" s="18" t="n"/>
      <c r="D75" s="18" t="n"/>
      <c r="E75" s="18" t="n"/>
      <c r="F75" s="18" t="n"/>
      <c r="G75" s="18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5.75" customHeight="1" s="42">
      <c r="A76" s="4" t="n"/>
      <c r="B76" s="18" t="n"/>
      <c r="C76" s="18" t="n"/>
      <c r="D76" s="18" t="n"/>
      <c r="E76" s="18" t="n"/>
      <c r="F76" s="18" t="n"/>
      <c r="G76" s="18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5.75" customHeight="1" s="42">
      <c r="A77" s="4" t="n"/>
      <c r="B77" s="18" t="n"/>
      <c r="C77" s="18" t="n"/>
      <c r="D77" s="18" t="n"/>
      <c r="E77" s="18" t="n"/>
      <c r="F77" s="18" t="n"/>
      <c r="G77" s="18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5.75" customHeight="1" s="42">
      <c r="A78" s="4" t="n"/>
      <c r="B78" s="18" t="n"/>
      <c r="C78" s="18" t="n"/>
      <c r="D78" s="18" t="n"/>
      <c r="E78" s="18" t="n"/>
      <c r="F78" s="18" t="n"/>
      <c r="G78" s="18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5.75" customHeight="1" s="42">
      <c r="A79" s="4" t="n"/>
      <c r="B79" s="18" t="n"/>
      <c r="C79" s="18" t="n"/>
      <c r="D79" s="18" t="n"/>
      <c r="E79" s="18" t="n"/>
      <c r="F79" s="18" t="n"/>
      <c r="G79" s="18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5.75" customHeight="1" s="42">
      <c r="A80" s="4" t="n"/>
      <c r="B80" s="18" t="n"/>
      <c r="C80" s="18" t="n"/>
      <c r="D80" s="18" t="n"/>
      <c r="E80" s="18" t="n"/>
      <c r="F80" s="18" t="n"/>
      <c r="G80" s="18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5.75" customHeight="1" s="42">
      <c r="A81" s="4" t="n"/>
      <c r="B81" s="18" t="n"/>
      <c r="C81" s="18" t="n"/>
      <c r="D81" s="18" t="n"/>
      <c r="E81" s="18" t="n"/>
      <c r="F81" s="18" t="n"/>
      <c r="G81" s="18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5.75" customHeight="1" s="42">
      <c r="A82" s="4" t="n"/>
      <c r="B82" s="18" t="n"/>
      <c r="C82" s="18" t="n"/>
      <c r="D82" s="18" t="n"/>
      <c r="E82" s="18" t="n"/>
      <c r="F82" s="18" t="n"/>
      <c r="G82" s="18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5.75" customHeight="1" s="42">
      <c r="A83" s="4" t="n"/>
      <c r="B83" s="18" t="n"/>
      <c r="C83" s="18" t="n"/>
      <c r="D83" s="18" t="n"/>
      <c r="E83" s="18" t="n"/>
      <c r="F83" s="18" t="n"/>
      <c r="G83" s="18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5.75" customHeight="1" s="42">
      <c r="A84" s="4" t="n"/>
      <c r="B84" s="18" t="n"/>
      <c r="C84" s="18" t="n"/>
      <c r="D84" s="18" t="n"/>
      <c r="E84" s="18" t="n"/>
      <c r="F84" s="18" t="n"/>
      <c r="G84" s="18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5.75" customHeight="1" s="42">
      <c r="A85" s="4" t="n"/>
      <c r="B85" s="18" t="n"/>
      <c r="C85" s="18" t="n"/>
      <c r="D85" s="18" t="n"/>
      <c r="E85" s="18" t="n"/>
      <c r="F85" s="18" t="n"/>
      <c r="G85" s="18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5.75" customHeight="1" s="42">
      <c r="A86" s="4" t="n"/>
      <c r="B86" s="18" t="n"/>
      <c r="C86" s="18" t="n"/>
      <c r="D86" s="18" t="n"/>
      <c r="E86" s="18" t="n"/>
      <c r="F86" s="18" t="n"/>
      <c r="G86" s="18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5.75" customHeight="1" s="42">
      <c r="A87" s="4" t="n"/>
      <c r="B87" s="18" t="n"/>
      <c r="C87" s="18" t="n"/>
      <c r="D87" s="18" t="n"/>
      <c r="E87" s="18" t="n"/>
      <c r="F87" s="18" t="n"/>
      <c r="G87" s="18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5.75" customHeight="1" s="42">
      <c r="A88" s="4" t="n"/>
      <c r="B88" s="18" t="n"/>
      <c r="C88" s="18" t="n"/>
      <c r="D88" s="18" t="n"/>
      <c r="E88" s="18" t="n"/>
      <c r="F88" s="18" t="n"/>
      <c r="G88" s="18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5.75" customHeight="1" s="42">
      <c r="A89" s="4" t="n"/>
      <c r="B89" s="18" t="n"/>
      <c r="C89" s="18" t="n"/>
      <c r="D89" s="18" t="n"/>
      <c r="E89" s="18" t="n"/>
      <c r="F89" s="18" t="n"/>
      <c r="G89" s="18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5.75" customHeight="1" s="42">
      <c r="A90" s="4" t="n"/>
      <c r="B90" s="18" t="n"/>
      <c r="C90" s="18" t="n"/>
      <c r="D90" s="18" t="n"/>
      <c r="E90" s="18" t="n"/>
      <c r="F90" s="18" t="n"/>
      <c r="G90" s="18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5.75" customHeight="1" s="42">
      <c r="A91" s="4" t="n"/>
      <c r="B91" s="18" t="n"/>
      <c r="C91" s="18" t="n"/>
      <c r="D91" s="18" t="n"/>
      <c r="E91" s="18" t="n"/>
      <c r="F91" s="18" t="n"/>
      <c r="G91" s="18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5.75" customHeight="1" s="42">
      <c r="A92" s="4" t="n"/>
      <c r="B92" s="18" t="n"/>
      <c r="C92" s="18" t="n"/>
      <c r="D92" s="18" t="n"/>
      <c r="E92" s="18" t="n"/>
      <c r="F92" s="18" t="n"/>
      <c r="G92" s="18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5.75" customHeight="1" s="42">
      <c r="A93" s="4" t="n"/>
      <c r="B93" s="18" t="n"/>
      <c r="C93" s="18" t="n"/>
      <c r="D93" s="18" t="n"/>
      <c r="E93" s="18" t="n"/>
      <c r="F93" s="18" t="n"/>
      <c r="G93" s="18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5.75" customHeight="1" s="42">
      <c r="A94" s="4" t="n"/>
      <c r="B94" s="18" t="n"/>
      <c r="C94" s="18" t="n"/>
      <c r="D94" s="18" t="n"/>
      <c r="E94" s="18" t="n"/>
      <c r="F94" s="18" t="n"/>
      <c r="G94" s="18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5.75" customHeight="1" s="42">
      <c r="A95" s="4" t="n"/>
      <c r="B95" s="18" t="n"/>
      <c r="C95" s="18" t="n"/>
      <c r="D95" s="18" t="n"/>
      <c r="E95" s="18" t="n"/>
      <c r="F95" s="18" t="n"/>
      <c r="G95" s="18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5.75" customHeight="1" s="42">
      <c r="A96" s="4" t="n"/>
      <c r="B96" s="18" t="n"/>
      <c r="C96" s="18" t="n"/>
      <c r="D96" s="18" t="n"/>
      <c r="E96" s="18" t="n"/>
      <c r="F96" s="18" t="n"/>
      <c r="G96" s="18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5.75" customHeight="1" s="42">
      <c r="A97" s="4" t="n"/>
      <c r="B97" s="18" t="n"/>
      <c r="C97" s="18" t="n"/>
      <c r="D97" s="18" t="n"/>
      <c r="E97" s="18" t="n"/>
      <c r="F97" s="18" t="n"/>
      <c r="G97" s="18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5.75" customHeight="1" s="42">
      <c r="A98" s="4" t="n"/>
      <c r="B98" s="18" t="n"/>
      <c r="C98" s="18" t="n"/>
      <c r="D98" s="18" t="n"/>
      <c r="E98" s="18" t="n"/>
      <c r="F98" s="18" t="n"/>
      <c r="G98" s="18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5.75" customHeight="1" s="42">
      <c r="A99" s="4" t="n"/>
      <c r="B99" s="18" t="n"/>
      <c r="C99" s="18" t="n"/>
      <c r="D99" s="18" t="n"/>
      <c r="E99" s="18" t="n"/>
      <c r="F99" s="18" t="n"/>
      <c r="G99" s="18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5.75" customHeight="1" s="42">
      <c r="A100" s="4" t="n"/>
      <c r="B100" s="18" t="n"/>
      <c r="C100" s="18" t="n"/>
      <c r="D100" s="18" t="n"/>
      <c r="E100" s="18" t="n"/>
      <c r="F100" s="18" t="n"/>
      <c r="G100" s="18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5.75" customHeight="1" s="42">
      <c r="A101" s="4" t="n"/>
      <c r="B101" s="18" t="n"/>
      <c r="C101" s="18" t="n"/>
      <c r="D101" s="18" t="n"/>
      <c r="E101" s="18" t="n"/>
      <c r="F101" s="18" t="n"/>
      <c r="G101" s="18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5.75" customHeight="1" s="42">
      <c r="A102" s="4" t="n"/>
      <c r="B102" s="18" t="n"/>
      <c r="C102" s="18" t="n"/>
      <c r="D102" s="18" t="n"/>
      <c r="E102" s="18" t="n"/>
      <c r="F102" s="18" t="n"/>
      <c r="G102" s="18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5.75" customHeight="1" s="42">
      <c r="A103" s="4" t="n"/>
      <c r="B103" s="18" t="n"/>
      <c r="C103" s="18" t="n"/>
      <c r="D103" s="18" t="n"/>
      <c r="E103" s="18" t="n"/>
      <c r="F103" s="18" t="n"/>
      <c r="G103" s="18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5.75" customHeight="1" s="42">
      <c r="A104" s="4" t="n"/>
      <c r="B104" s="18" t="n"/>
      <c r="C104" s="18" t="n"/>
      <c r="D104" s="18" t="n"/>
      <c r="E104" s="18" t="n"/>
      <c r="F104" s="18" t="n"/>
      <c r="G104" s="18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5.75" customHeight="1" s="42">
      <c r="A105" s="4" t="n"/>
      <c r="B105" s="18" t="n"/>
      <c r="C105" s="18" t="n"/>
      <c r="D105" s="18" t="n"/>
      <c r="E105" s="18" t="n"/>
      <c r="F105" s="18" t="n"/>
      <c r="G105" s="18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5.75" customHeight="1" s="42">
      <c r="A106" s="4" t="n"/>
      <c r="B106" s="18" t="n"/>
      <c r="C106" s="18" t="n"/>
      <c r="D106" s="18" t="n"/>
      <c r="E106" s="18" t="n"/>
      <c r="F106" s="18" t="n"/>
      <c r="G106" s="18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5.75" customHeight="1" s="42">
      <c r="A107" s="4" t="n"/>
      <c r="B107" s="18" t="n"/>
      <c r="C107" s="18" t="n"/>
      <c r="D107" s="18" t="n"/>
      <c r="E107" s="18" t="n"/>
      <c r="F107" s="18" t="n"/>
      <c r="G107" s="18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5.75" customHeight="1" s="42">
      <c r="A108" s="4" t="n"/>
      <c r="B108" s="18" t="n"/>
      <c r="C108" s="18" t="n"/>
      <c r="D108" s="18" t="n"/>
      <c r="E108" s="18" t="n"/>
      <c r="F108" s="18" t="n"/>
      <c r="G108" s="18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5.75" customHeight="1" s="42">
      <c r="A109" s="4" t="n"/>
      <c r="B109" s="18" t="n"/>
      <c r="C109" s="18" t="n"/>
      <c r="D109" s="18" t="n"/>
      <c r="E109" s="18" t="n"/>
      <c r="F109" s="18" t="n"/>
      <c r="G109" s="18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5.75" customHeight="1" s="42">
      <c r="A110" s="4" t="n"/>
      <c r="B110" s="18" t="n"/>
      <c r="C110" s="18" t="n"/>
      <c r="D110" s="18" t="n"/>
      <c r="E110" s="18" t="n"/>
      <c r="F110" s="18" t="n"/>
      <c r="G110" s="18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5.75" customHeight="1" s="42">
      <c r="A111" s="4" t="n"/>
      <c r="B111" s="18" t="n"/>
      <c r="C111" s="18" t="n"/>
      <c r="D111" s="18" t="n"/>
      <c r="E111" s="18" t="n"/>
      <c r="F111" s="18" t="n"/>
      <c r="G111" s="18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5.75" customHeight="1" s="42">
      <c r="A112" s="4" t="n"/>
      <c r="B112" s="18" t="n"/>
      <c r="C112" s="18" t="n"/>
      <c r="D112" s="18" t="n"/>
      <c r="E112" s="18" t="n"/>
      <c r="F112" s="18" t="n"/>
      <c r="G112" s="18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5.75" customHeight="1" s="42">
      <c r="A113" s="4" t="n"/>
      <c r="B113" s="18" t="n"/>
      <c r="C113" s="18" t="n"/>
      <c r="D113" s="18" t="n"/>
      <c r="E113" s="18" t="n"/>
      <c r="F113" s="18" t="n"/>
      <c r="G113" s="18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5.75" customHeight="1" s="42">
      <c r="A114" s="4" t="n"/>
      <c r="B114" s="18" t="n"/>
      <c r="C114" s="18" t="n"/>
      <c r="D114" s="18" t="n"/>
      <c r="E114" s="18" t="n"/>
      <c r="F114" s="18" t="n"/>
      <c r="G114" s="18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5.75" customHeight="1" s="42">
      <c r="A115" s="4" t="n"/>
      <c r="B115" s="18" t="n"/>
      <c r="C115" s="18" t="n"/>
      <c r="D115" s="18" t="n"/>
      <c r="E115" s="18" t="n"/>
      <c r="F115" s="18" t="n"/>
      <c r="G115" s="18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5.75" customHeight="1" s="42">
      <c r="A116" s="4" t="n"/>
      <c r="B116" s="18" t="n"/>
      <c r="C116" s="18" t="n"/>
      <c r="D116" s="18" t="n"/>
      <c r="E116" s="18" t="n"/>
      <c r="F116" s="18" t="n"/>
      <c r="G116" s="18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5.75" customHeight="1" s="42">
      <c r="A117" s="4" t="n"/>
      <c r="B117" s="18" t="n"/>
      <c r="C117" s="18" t="n"/>
      <c r="D117" s="18" t="n"/>
      <c r="E117" s="18" t="n"/>
      <c r="F117" s="18" t="n"/>
      <c r="G117" s="18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5.75" customHeight="1" s="42">
      <c r="A118" s="4" t="n"/>
      <c r="B118" s="18" t="n"/>
      <c r="C118" s="18" t="n"/>
      <c r="D118" s="18" t="n"/>
      <c r="E118" s="18" t="n"/>
      <c r="F118" s="18" t="n"/>
      <c r="G118" s="18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5.75" customHeight="1" s="42">
      <c r="A119" s="4" t="n"/>
      <c r="B119" s="18" t="n"/>
      <c r="C119" s="18" t="n"/>
      <c r="D119" s="18" t="n"/>
      <c r="E119" s="18" t="n"/>
      <c r="F119" s="18" t="n"/>
      <c r="G119" s="18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5.75" customHeight="1" s="42">
      <c r="A120" s="4" t="n"/>
      <c r="B120" s="18" t="n"/>
      <c r="C120" s="18" t="n"/>
      <c r="D120" s="18" t="n"/>
      <c r="E120" s="18" t="n"/>
      <c r="F120" s="18" t="n"/>
      <c r="G120" s="18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5.75" customHeight="1" s="42">
      <c r="A121" s="4" t="n"/>
      <c r="B121" s="18" t="n"/>
      <c r="C121" s="18" t="n"/>
      <c r="D121" s="18" t="n"/>
      <c r="E121" s="18" t="n"/>
      <c r="F121" s="18" t="n"/>
      <c r="G121" s="18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5.75" customHeight="1" s="42">
      <c r="A122" s="4" t="n"/>
      <c r="B122" s="18" t="n"/>
      <c r="C122" s="18" t="n"/>
      <c r="D122" s="18" t="n"/>
      <c r="E122" s="18" t="n"/>
      <c r="F122" s="18" t="n"/>
      <c r="G122" s="18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5.75" customHeight="1" s="42">
      <c r="A123" s="4" t="n"/>
      <c r="B123" s="18" t="n"/>
      <c r="C123" s="18" t="n"/>
      <c r="D123" s="18" t="n"/>
      <c r="E123" s="18" t="n"/>
      <c r="F123" s="18" t="n"/>
      <c r="G123" s="18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5.75" customHeight="1" s="42">
      <c r="A124" s="4" t="n"/>
      <c r="B124" s="18" t="n"/>
      <c r="C124" s="18" t="n"/>
      <c r="D124" s="18" t="n"/>
      <c r="E124" s="18" t="n"/>
      <c r="F124" s="18" t="n"/>
      <c r="G124" s="18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5.75" customHeight="1" s="42">
      <c r="A125" s="4" t="n"/>
      <c r="B125" s="18" t="n"/>
      <c r="C125" s="18" t="n"/>
      <c r="D125" s="18" t="n"/>
      <c r="E125" s="18" t="n"/>
      <c r="F125" s="18" t="n"/>
      <c r="G125" s="18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5.75" customHeight="1" s="42">
      <c r="A126" s="4" t="n"/>
      <c r="B126" s="18" t="n"/>
      <c r="C126" s="18" t="n"/>
      <c r="D126" s="18" t="n"/>
      <c r="E126" s="18" t="n"/>
      <c r="F126" s="18" t="n"/>
      <c r="G126" s="18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5.75" customHeight="1" s="42">
      <c r="A127" s="4" t="n"/>
      <c r="B127" s="18" t="n"/>
      <c r="C127" s="18" t="n"/>
      <c r="D127" s="18" t="n"/>
      <c r="E127" s="18" t="n"/>
      <c r="F127" s="18" t="n"/>
      <c r="G127" s="18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5.75" customHeight="1" s="42">
      <c r="A128" s="4" t="n"/>
      <c r="B128" s="18" t="n"/>
      <c r="C128" s="18" t="n"/>
      <c r="D128" s="18" t="n"/>
      <c r="E128" s="18" t="n"/>
      <c r="F128" s="18" t="n"/>
      <c r="G128" s="18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5.75" customHeight="1" s="42">
      <c r="A129" s="4" t="n"/>
      <c r="B129" s="18" t="n"/>
      <c r="C129" s="18" t="n"/>
      <c r="D129" s="18" t="n"/>
      <c r="E129" s="18" t="n"/>
      <c r="F129" s="18" t="n"/>
      <c r="G129" s="18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5.75" customHeight="1" s="42">
      <c r="A130" s="4" t="n"/>
      <c r="B130" s="18" t="n"/>
      <c r="C130" s="18" t="n"/>
      <c r="D130" s="18" t="n"/>
      <c r="E130" s="18" t="n"/>
      <c r="F130" s="18" t="n"/>
      <c r="G130" s="18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42">
      <c r="A131" s="4" t="n"/>
      <c r="B131" s="18" t="n"/>
      <c r="C131" s="18" t="n"/>
      <c r="D131" s="18" t="n"/>
      <c r="E131" s="18" t="n"/>
      <c r="F131" s="18" t="n"/>
      <c r="G131" s="18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5.75" customHeight="1" s="42">
      <c r="A132" s="4" t="n"/>
      <c r="B132" s="18" t="n"/>
      <c r="C132" s="18" t="n"/>
      <c r="D132" s="18" t="n"/>
      <c r="E132" s="18" t="n"/>
      <c r="F132" s="18" t="n"/>
      <c r="G132" s="18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5.75" customHeight="1" s="42">
      <c r="A133" s="4" t="n"/>
      <c r="B133" s="18" t="n"/>
      <c r="C133" s="18" t="n"/>
      <c r="D133" s="18" t="n"/>
      <c r="E133" s="18" t="n"/>
      <c r="F133" s="18" t="n"/>
      <c r="G133" s="18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5.75" customHeight="1" s="42">
      <c r="A134" s="4" t="n"/>
      <c r="B134" s="18" t="n"/>
      <c r="C134" s="18" t="n"/>
      <c r="D134" s="18" t="n"/>
      <c r="E134" s="18" t="n"/>
      <c r="F134" s="18" t="n"/>
      <c r="G134" s="18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5.75" customHeight="1" s="42">
      <c r="A135" s="4" t="n"/>
      <c r="B135" s="18" t="n"/>
      <c r="C135" s="18" t="n"/>
      <c r="D135" s="18" t="n"/>
      <c r="E135" s="18" t="n"/>
      <c r="F135" s="18" t="n"/>
      <c r="G135" s="18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5.75" customHeight="1" s="42">
      <c r="A136" s="4" t="n"/>
      <c r="B136" s="18" t="n"/>
      <c r="C136" s="18" t="n"/>
      <c r="D136" s="18" t="n"/>
      <c r="E136" s="18" t="n"/>
      <c r="F136" s="18" t="n"/>
      <c r="G136" s="18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5.75" customHeight="1" s="42">
      <c r="A137" s="4" t="n"/>
      <c r="B137" s="18" t="n"/>
      <c r="C137" s="18" t="n"/>
      <c r="D137" s="18" t="n"/>
      <c r="E137" s="18" t="n"/>
      <c r="F137" s="18" t="n"/>
      <c r="G137" s="18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5.75" customHeight="1" s="42">
      <c r="A138" s="4" t="n"/>
      <c r="B138" s="18" t="n"/>
      <c r="C138" s="18" t="n"/>
      <c r="D138" s="18" t="n"/>
      <c r="E138" s="18" t="n"/>
      <c r="F138" s="18" t="n"/>
      <c r="G138" s="18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5.75" customHeight="1" s="42">
      <c r="A139" s="4" t="n"/>
      <c r="B139" s="18" t="n"/>
      <c r="C139" s="18" t="n"/>
      <c r="D139" s="18" t="n"/>
      <c r="E139" s="18" t="n"/>
      <c r="F139" s="18" t="n"/>
      <c r="G139" s="18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5.75" customHeight="1" s="42">
      <c r="A140" s="4" t="n"/>
      <c r="B140" s="18" t="n"/>
      <c r="C140" s="18" t="n"/>
      <c r="D140" s="18" t="n"/>
      <c r="E140" s="18" t="n"/>
      <c r="F140" s="18" t="n"/>
      <c r="G140" s="18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5.75" customHeight="1" s="42">
      <c r="A141" s="4" t="n"/>
      <c r="B141" s="18" t="n"/>
      <c r="C141" s="18" t="n"/>
      <c r="D141" s="18" t="n"/>
      <c r="E141" s="18" t="n"/>
      <c r="F141" s="18" t="n"/>
      <c r="G141" s="18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5.75" customHeight="1" s="42">
      <c r="A142" s="4" t="n"/>
      <c r="B142" s="18" t="n"/>
      <c r="C142" s="18" t="n"/>
      <c r="D142" s="18" t="n"/>
      <c r="E142" s="18" t="n"/>
      <c r="F142" s="18" t="n"/>
      <c r="G142" s="18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5.75" customHeight="1" s="42">
      <c r="A143" s="4" t="n"/>
      <c r="B143" s="18" t="n"/>
      <c r="C143" s="18" t="n"/>
      <c r="D143" s="18" t="n"/>
      <c r="E143" s="18" t="n"/>
      <c r="F143" s="18" t="n"/>
      <c r="G143" s="18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5.75" customHeight="1" s="42">
      <c r="A144" s="4" t="n"/>
      <c r="B144" s="18" t="n"/>
      <c r="C144" s="18" t="n"/>
      <c r="D144" s="18" t="n"/>
      <c r="E144" s="18" t="n"/>
      <c r="F144" s="18" t="n"/>
      <c r="G144" s="18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5.75" customHeight="1" s="42">
      <c r="A145" s="4" t="n"/>
      <c r="B145" s="18" t="n"/>
      <c r="C145" s="18" t="n"/>
      <c r="D145" s="18" t="n"/>
      <c r="E145" s="18" t="n"/>
      <c r="F145" s="18" t="n"/>
      <c r="G145" s="18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5.75" customHeight="1" s="42">
      <c r="A146" s="4" t="n"/>
      <c r="B146" s="18" t="n"/>
      <c r="C146" s="18" t="n"/>
      <c r="D146" s="18" t="n"/>
      <c r="E146" s="18" t="n"/>
      <c r="F146" s="18" t="n"/>
      <c r="G146" s="18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5.75" customHeight="1" s="42">
      <c r="A147" s="4" t="n"/>
      <c r="B147" s="18" t="n"/>
      <c r="C147" s="18" t="n"/>
      <c r="D147" s="18" t="n"/>
      <c r="E147" s="18" t="n"/>
      <c r="F147" s="18" t="n"/>
      <c r="G147" s="18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5.75" customHeight="1" s="42">
      <c r="A148" s="4" t="n"/>
      <c r="B148" s="18" t="n"/>
      <c r="C148" s="18" t="n"/>
      <c r="D148" s="18" t="n"/>
      <c r="E148" s="18" t="n"/>
      <c r="F148" s="18" t="n"/>
      <c r="G148" s="18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5.75" customHeight="1" s="42">
      <c r="A149" s="4" t="n"/>
      <c r="B149" s="18" t="n"/>
      <c r="C149" s="18" t="n"/>
      <c r="D149" s="18" t="n"/>
      <c r="E149" s="18" t="n"/>
      <c r="F149" s="18" t="n"/>
      <c r="G149" s="18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5.75" customHeight="1" s="42">
      <c r="A150" s="4" t="n"/>
      <c r="B150" s="18" t="n"/>
      <c r="C150" s="18" t="n"/>
      <c r="D150" s="18" t="n"/>
      <c r="E150" s="18" t="n"/>
      <c r="F150" s="18" t="n"/>
      <c r="G150" s="18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5.75" customHeight="1" s="42">
      <c r="A151" s="4" t="n"/>
      <c r="B151" s="18" t="n"/>
      <c r="C151" s="18" t="n"/>
      <c r="D151" s="18" t="n"/>
      <c r="E151" s="18" t="n"/>
      <c r="F151" s="18" t="n"/>
      <c r="G151" s="18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5.75" customHeight="1" s="42">
      <c r="A152" s="4" t="n"/>
      <c r="B152" s="18" t="n"/>
      <c r="C152" s="18" t="n"/>
      <c r="D152" s="18" t="n"/>
      <c r="E152" s="18" t="n"/>
      <c r="F152" s="18" t="n"/>
      <c r="G152" s="18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5.75" customHeight="1" s="42">
      <c r="A153" s="4" t="n"/>
      <c r="B153" s="18" t="n"/>
      <c r="C153" s="18" t="n"/>
      <c r="D153" s="18" t="n"/>
      <c r="E153" s="18" t="n"/>
      <c r="F153" s="18" t="n"/>
      <c r="G153" s="18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5.75" customHeight="1" s="42">
      <c r="A154" s="4" t="n"/>
      <c r="B154" s="18" t="n"/>
      <c r="C154" s="18" t="n"/>
      <c r="D154" s="18" t="n"/>
      <c r="E154" s="18" t="n"/>
      <c r="F154" s="18" t="n"/>
      <c r="G154" s="18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5.75" customHeight="1" s="42">
      <c r="A155" s="4" t="n"/>
      <c r="B155" s="18" t="n"/>
      <c r="C155" s="18" t="n"/>
      <c r="D155" s="18" t="n"/>
      <c r="E155" s="18" t="n"/>
      <c r="F155" s="18" t="n"/>
      <c r="G155" s="18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5.75" customHeight="1" s="42">
      <c r="A156" s="4" t="n"/>
      <c r="B156" s="18" t="n"/>
      <c r="C156" s="18" t="n"/>
      <c r="D156" s="18" t="n"/>
      <c r="E156" s="18" t="n"/>
      <c r="F156" s="18" t="n"/>
      <c r="G156" s="18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5.75" customHeight="1" s="42">
      <c r="A157" s="4" t="n"/>
      <c r="B157" s="18" t="n"/>
      <c r="C157" s="18" t="n"/>
      <c r="D157" s="18" t="n"/>
      <c r="E157" s="18" t="n"/>
      <c r="F157" s="18" t="n"/>
      <c r="G157" s="18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5.75" customHeight="1" s="42">
      <c r="A158" s="4" t="n"/>
      <c r="B158" s="18" t="n"/>
      <c r="C158" s="18" t="n"/>
      <c r="D158" s="18" t="n"/>
      <c r="E158" s="18" t="n"/>
      <c r="F158" s="18" t="n"/>
      <c r="G158" s="18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5.75" customHeight="1" s="42">
      <c r="A159" s="4" t="n"/>
      <c r="B159" s="18" t="n"/>
      <c r="C159" s="18" t="n"/>
      <c r="D159" s="18" t="n"/>
      <c r="E159" s="18" t="n"/>
      <c r="F159" s="18" t="n"/>
      <c r="G159" s="18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5.75" customHeight="1" s="42">
      <c r="A160" s="4" t="n"/>
      <c r="B160" s="18" t="n"/>
      <c r="C160" s="18" t="n"/>
      <c r="D160" s="18" t="n"/>
      <c r="E160" s="18" t="n"/>
      <c r="F160" s="18" t="n"/>
      <c r="G160" s="18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5.75" customHeight="1" s="42">
      <c r="A161" s="4" t="n"/>
      <c r="B161" s="18" t="n"/>
      <c r="C161" s="18" t="n"/>
      <c r="D161" s="18" t="n"/>
      <c r="E161" s="18" t="n"/>
      <c r="F161" s="18" t="n"/>
      <c r="G161" s="18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5.75" customHeight="1" s="42">
      <c r="A162" s="4" t="n"/>
      <c r="B162" s="18" t="n"/>
      <c r="C162" s="18" t="n"/>
      <c r="D162" s="18" t="n"/>
      <c r="E162" s="18" t="n"/>
      <c r="F162" s="18" t="n"/>
      <c r="G162" s="18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5.75" customHeight="1" s="42">
      <c r="A163" s="4" t="n"/>
      <c r="B163" s="18" t="n"/>
      <c r="C163" s="18" t="n"/>
      <c r="D163" s="18" t="n"/>
      <c r="E163" s="18" t="n"/>
      <c r="F163" s="18" t="n"/>
      <c r="G163" s="18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5.75" customHeight="1" s="42">
      <c r="A164" s="4" t="n"/>
      <c r="B164" s="18" t="n"/>
      <c r="C164" s="18" t="n"/>
      <c r="D164" s="18" t="n"/>
      <c r="E164" s="18" t="n"/>
      <c r="F164" s="18" t="n"/>
      <c r="G164" s="18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5.75" customHeight="1" s="42">
      <c r="A165" s="4" t="n"/>
      <c r="B165" s="18" t="n"/>
      <c r="C165" s="18" t="n"/>
      <c r="D165" s="18" t="n"/>
      <c r="E165" s="18" t="n"/>
      <c r="F165" s="18" t="n"/>
      <c r="G165" s="18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5.75" customHeight="1" s="42">
      <c r="A166" s="4" t="n"/>
      <c r="B166" s="18" t="n"/>
      <c r="C166" s="18" t="n"/>
      <c r="D166" s="18" t="n"/>
      <c r="E166" s="18" t="n"/>
      <c r="F166" s="18" t="n"/>
      <c r="G166" s="18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5.75" customHeight="1" s="42">
      <c r="A167" s="4" t="n"/>
      <c r="B167" s="18" t="n"/>
      <c r="C167" s="18" t="n"/>
      <c r="D167" s="18" t="n"/>
      <c r="E167" s="18" t="n"/>
      <c r="F167" s="18" t="n"/>
      <c r="G167" s="18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5.75" customHeight="1" s="42">
      <c r="A168" s="4" t="n"/>
      <c r="B168" s="18" t="n"/>
      <c r="C168" s="18" t="n"/>
      <c r="D168" s="18" t="n"/>
      <c r="E168" s="18" t="n"/>
      <c r="F168" s="18" t="n"/>
      <c r="G168" s="18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5.75" customHeight="1" s="42">
      <c r="A169" s="4" t="n"/>
      <c r="B169" s="18" t="n"/>
      <c r="C169" s="18" t="n"/>
      <c r="D169" s="18" t="n"/>
      <c r="E169" s="18" t="n"/>
      <c r="F169" s="18" t="n"/>
      <c r="G169" s="18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5.75" customHeight="1" s="42">
      <c r="A170" s="4" t="n"/>
      <c r="B170" s="18" t="n"/>
      <c r="C170" s="18" t="n"/>
      <c r="D170" s="18" t="n"/>
      <c r="E170" s="18" t="n"/>
      <c r="F170" s="18" t="n"/>
      <c r="G170" s="18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5.75" customHeight="1" s="42">
      <c r="A171" s="4" t="n"/>
      <c r="B171" s="18" t="n"/>
      <c r="C171" s="18" t="n"/>
      <c r="D171" s="18" t="n"/>
      <c r="E171" s="18" t="n"/>
      <c r="F171" s="18" t="n"/>
      <c r="G171" s="18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5.75" customHeight="1" s="42">
      <c r="A172" s="4" t="n"/>
      <c r="B172" s="18" t="n"/>
      <c r="C172" s="18" t="n"/>
      <c r="D172" s="18" t="n"/>
      <c r="E172" s="18" t="n"/>
      <c r="F172" s="18" t="n"/>
      <c r="G172" s="18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5.75" customHeight="1" s="42">
      <c r="A173" s="4" t="n"/>
      <c r="B173" s="18" t="n"/>
      <c r="C173" s="18" t="n"/>
      <c r="D173" s="18" t="n"/>
      <c r="E173" s="18" t="n"/>
      <c r="F173" s="18" t="n"/>
      <c r="G173" s="18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5.75" customHeight="1" s="42">
      <c r="A174" s="4" t="n"/>
      <c r="B174" s="18" t="n"/>
      <c r="C174" s="18" t="n"/>
      <c r="D174" s="18" t="n"/>
      <c r="E174" s="18" t="n"/>
      <c r="F174" s="18" t="n"/>
      <c r="G174" s="18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5.75" customHeight="1" s="42">
      <c r="A175" s="4" t="n"/>
      <c r="B175" s="18" t="n"/>
      <c r="C175" s="18" t="n"/>
      <c r="D175" s="18" t="n"/>
      <c r="E175" s="18" t="n"/>
      <c r="F175" s="18" t="n"/>
      <c r="G175" s="18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5.75" customHeight="1" s="42">
      <c r="A176" s="4" t="n"/>
      <c r="B176" s="18" t="n"/>
      <c r="C176" s="18" t="n"/>
      <c r="D176" s="18" t="n"/>
      <c r="E176" s="18" t="n"/>
      <c r="F176" s="18" t="n"/>
      <c r="G176" s="18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5.75" customHeight="1" s="42">
      <c r="A177" s="4" t="n"/>
      <c r="B177" s="18" t="n"/>
      <c r="C177" s="18" t="n"/>
      <c r="D177" s="18" t="n"/>
      <c r="E177" s="18" t="n"/>
      <c r="F177" s="18" t="n"/>
      <c r="G177" s="18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5.75" customHeight="1" s="42">
      <c r="A178" s="4" t="n"/>
      <c r="B178" s="18" t="n"/>
      <c r="C178" s="18" t="n"/>
      <c r="D178" s="18" t="n"/>
      <c r="E178" s="18" t="n"/>
      <c r="F178" s="18" t="n"/>
      <c r="G178" s="18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5.75" customHeight="1" s="42">
      <c r="A179" s="4" t="n"/>
      <c r="B179" s="18" t="n"/>
      <c r="C179" s="18" t="n"/>
      <c r="D179" s="18" t="n"/>
      <c r="E179" s="18" t="n"/>
      <c r="F179" s="18" t="n"/>
      <c r="G179" s="18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5.75" customHeight="1" s="42">
      <c r="A180" s="4" t="n"/>
      <c r="B180" s="18" t="n"/>
      <c r="C180" s="18" t="n"/>
      <c r="D180" s="18" t="n"/>
      <c r="E180" s="18" t="n"/>
      <c r="F180" s="18" t="n"/>
      <c r="G180" s="18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5.75" customHeight="1" s="42">
      <c r="A181" s="4" t="n"/>
      <c r="B181" s="18" t="n"/>
      <c r="C181" s="18" t="n"/>
      <c r="D181" s="18" t="n"/>
      <c r="E181" s="18" t="n"/>
      <c r="F181" s="18" t="n"/>
      <c r="G181" s="18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5.75" customHeight="1" s="42">
      <c r="A182" s="4" t="n"/>
      <c r="B182" s="18" t="n"/>
      <c r="C182" s="18" t="n"/>
      <c r="D182" s="18" t="n"/>
      <c r="E182" s="18" t="n"/>
      <c r="F182" s="18" t="n"/>
      <c r="G182" s="18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5.75" customHeight="1" s="42">
      <c r="A183" s="4" t="n"/>
      <c r="B183" s="18" t="n"/>
      <c r="C183" s="18" t="n"/>
      <c r="D183" s="18" t="n"/>
      <c r="E183" s="18" t="n"/>
      <c r="F183" s="18" t="n"/>
      <c r="G183" s="18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5.75" customHeight="1" s="42">
      <c r="A184" s="4" t="n"/>
      <c r="B184" s="18" t="n"/>
      <c r="C184" s="18" t="n"/>
      <c r="D184" s="18" t="n"/>
      <c r="E184" s="18" t="n"/>
      <c r="F184" s="18" t="n"/>
      <c r="G184" s="18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5.75" customHeight="1" s="42">
      <c r="A185" s="4" t="n"/>
      <c r="B185" s="18" t="n"/>
      <c r="C185" s="18" t="n"/>
      <c r="D185" s="18" t="n"/>
      <c r="E185" s="18" t="n"/>
      <c r="F185" s="18" t="n"/>
      <c r="G185" s="18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5.75" customHeight="1" s="42">
      <c r="A186" s="4" t="n"/>
      <c r="B186" s="18" t="n"/>
      <c r="C186" s="18" t="n"/>
      <c r="D186" s="18" t="n"/>
      <c r="E186" s="18" t="n"/>
      <c r="F186" s="18" t="n"/>
      <c r="G186" s="18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5.75" customHeight="1" s="42">
      <c r="A187" s="4" t="n"/>
      <c r="B187" s="18" t="n"/>
      <c r="C187" s="18" t="n"/>
      <c r="D187" s="18" t="n"/>
      <c r="E187" s="18" t="n"/>
      <c r="F187" s="18" t="n"/>
      <c r="G187" s="18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5.75" customHeight="1" s="42">
      <c r="A188" s="4" t="n"/>
      <c r="B188" s="18" t="n"/>
      <c r="C188" s="18" t="n"/>
      <c r="D188" s="18" t="n"/>
      <c r="E188" s="18" t="n"/>
      <c r="F188" s="18" t="n"/>
      <c r="G188" s="18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5.75" customHeight="1" s="42">
      <c r="A189" s="4" t="n"/>
      <c r="B189" s="18" t="n"/>
      <c r="C189" s="18" t="n"/>
      <c r="D189" s="18" t="n"/>
      <c r="E189" s="18" t="n"/>
      <c r="F189" s="18" t="n"/>
      <c r="G189" s="18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5.75" customHeight="1" s="42">
      <c r="A190" s="4" t="n"/>
      <c r="B190" s="18" t="n"/>
      <c r="C190" s="18" t="n"/>
      <c r="D190" s="18" t="n"/>
      <c r="E190" s="18" t="n"/>
      <c r="F190" s="18" t="n"/>
      <c r="G190" s="18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5.75" customHeight="1" s="42">
      <c r="A191" s="4" t="n"/>
      <c r="B191" s="18" t="n"/>
      <c r="C191" s="18" t="n"/>
      <c r="D191" s="18" t="n"/>
      <c r="E191" s="18" t="n"/>
      <c r="F191" s="18" t="n"/>
      <c r="G191" s="18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5.75" customHeight="1" s="42">
      <c r="A192" s="4" t="n"/>
      <c r="B192" s="18" t="n"/>
      <c r="C192" s="18" t="n"/>
      <c r="D192" s="18" t="n"/>
      <c r="E192" s="18" t="n"/>
      <c r="F192" s="18" t="n"/>
      <c r="G192" s="18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5.75" customHeight="1" s="42">
      <c r="A193" s="4" t="n"/>
      <c r="B193" s="18" t="n"/>
      <c r="C193" s="18" t="n"/>
      <c r="D193" s="18" t="n"/>
      <c r="E193" s="18" t="n"/>
      <c r="F193" s="18" t="n"/>
      <c r="G193" s="18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5.75" customHeight="1" s="42">
      <c r="A194" s="4" t="n"/>
      <c r="B194" s="18" t="n"/>
      <c r="C194" s="18" t="n"/>
      <c r="D194" s="18" t="n"/>
      <c r="E194" s="18" t="n"/>
      <c r="F194" s="18" t="n"/>
      <c r="G194" s="18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5.75" customHeight="1" s="42">
      <c r="A195" s="4" t="n"/>
      <c r="B195" s="18" t="n"/>
      <c r="C195" s="18" t="n"/>
      <c r="D195" s="18" t="n"/>
      <c r="E195" s="18" t="n"/>
      <c r="F195" s="18" t="n"/>
      <c r="G195" s="18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5.75" customHeight="1" s="42">
      <c r="A196" s="4" t="n"/>
      <c r="B196" s="18" t="n"/>
      <c r="C196" s="18" t="n"/>
      <c r="D196" s="18" t="n"/>
      <c r="E196" s="18" t="n"/>
      <c r="F196" s="18" t="n"/>
      <c r="G196" s="18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5.75" customHeight="1" s="42">
      <c r="A197" s="4" t="n"/>
      <c r="B197" s="18" t="n"/>
      <c r="C197" s="18" t="n"/>
      <c r="D197" s="18" t="n"/>
      <c r="E197" s="18" t="n"/>
      <c r="F197" s="18" t="n"/>
      <c r="G197" s="18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5.75" customHeight="1" s="42">
      <c r="A198" s="4" t="n"/>
      <c r="B198" s="18" t="n"/>
      <c r="C198" s="18" t="n"/>
      <c r="D198" s="18" t="n"/>
      <c r="E198" s="18" t="n"/>
      <c r="F198" s="18" t="n"/>
      <c r="G198" s="18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5.75" customHeight="1" s="42">
      <c r="A199" s="4" t="n"/>
      <c r="B199" s="18" t="n"/>
      <c r="C199" s="18" t="n"/>
      <c r="D199" s="18" t="n"/>
      <c r="E199" s="18" t="n"/>
      <c r="F199" s="18" t="n"/>
      <c r="G199" s="18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5.75" customHeight="1" s="42">
      <c r="A200" s="4" t="n"/>
      <c r="B200" s="18" t="n"/>
      <c r="C200" s="18" t="n"/>
      <c r="D200" s="18" t="n"/>
      <c r="E200" s="18" t="n"/>
      <c r="F200" s="18" t="n"/>
      <c r="G200" s="18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5.75" customHeight="1" s="42">
      <c r="A201" s="4" t="n"/>
      <c r="B201" s="18" t="n"/>
      <c r="C201" s="18" t="n"/>
      <c r="D201" s="18" t="n"/>
      <c r="E201" s="18" t="n"/>
      <c r="F201" s="18" t="n"/>
      <c r="G201" s="18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5.75" customHeight="1" s="42">
      <c r="A202" s="4" t="n"/>
      <c r="B202" s="18" t="n"/>
      <c r="C202" s="18" t="n"/>
      <c r="D202" s="18" t="n"/>
      <c r="E202" s="18" t="n"/>
      <c r="F202" s="18" t="n"/>
      <c r="G202" s="18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5.75" customHeight="1" s="42">
      <c r="A203" s="4" t="n"/>
      <c r="B203" s="18" t="n"/>
      <c r="C203" s="18" t="n"/>
      <c r="D203" s="18" t="n"/>
      <c r="E203" s="18" t="n"/>
      <c r="F203" s="18" t="n"/>
      <c r="G203" s="18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5.75" customHeight="1" s="42">
      <c r="A204" s="4" t="n"/>
      <c r="B204" s="18" t="n"/>
      <c r="C204" s="18" t="n"/>
      <c r="D204" s="18" t="n"/>
      <c r="E204" s="18" t="n"/>
      <c r="F204" s="18" t="n"/>
      <c r="G204" s="18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5.75" customHeight="1" s="42">
      <c r="A205" s="4" t="n"/>
      <c r="B205" s="18" t="n"/>
      <c r="C205" s="18" t="n"/>
      <c r="D205" s="18" t="n"/>
      <c r="E205" s="18" t="n"/>
      <c r="F205" s="18" t="n"/>
      <c r="G205" s="18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5.75" customHeight="1" s="42">
      <c r="A206" s="4" t="n"/>
      <c r="B206" s="18" t="n"/>
      <c r="C206" s="18" t="n"/>
      <c r="D206" s="18" t="n"/>
      <c r="E206" s="18" t="n"/>
      <c r="F206" s="18" t="n"/>
      <c r="G206" s="18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5.75" customHeight="1" s="42">
      <c r="A207" s="4" t="n"/>
      <c r="B207" s="18" t="n"/>
      <c r="C207" s="18" t="n"/>
      <c r="D207" s="18" t="n"/>
      <c r="E207" s="18" t="n"/>
      <c r="F207" s="18" t="n"/>
      <c r="G207" s="18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5.75" customHeight="1" s="42">
      <c r="A208" s="4" t="n"/>
      <c r="B208" s="18" t="n"/>
      <c r="C208" s="18" t="n"/>
      <c r="D208" s="18" t="n"/>
      <c r="E208" s="18" t="n"/>
      <c r="F208" s="18" t="n"/>
      <c r="G208" s="18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5.75" customHeight="1" s="42">
      <c r="A209" s="4" t="n"/>
      <c r="B209" s="18" t="n"/>
      <c r="C209" s="18" t="n"/>
      <c r="D209" s="18" t="n"/>
      <c r="E209" s="18" t="n"/>
      <c r="F209" s="18" t="n"/>
      <c r="G209" s="18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5.75" customHeight="1" s="42">
      <c r="A210" s="4" t="n"/>
      <c r="B210" s="18" t="n"/>
      <c r="C210" s="18" t="n"/>
      <c r="D210" s="18" t="n"/>
      <c r="E210" s="18" t="n"/>
      <c r="F210" s="18" t="n"/>
      <c r="G210" s="18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5.75" customHeight="1" s="42">
      <c r="A211" s="4" t="n"/>
      <c r="B211" s="18" t="n"/>
      <c r="C211" s="18" t="n"/>
      <c r="D211" s="18" t="n"/>
      <c r="E211" s="18" t="n"/>
      <c r="F211" s="18" t="n"/>
      <c r="G211" s="18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5.75" customHeight="1" s="42">
      <c r="A212" s="4" t="n"/>
      <c r="B212" s="18" t="n"/>
      <c r="C212" s="18" t="n"/>
      <c r="D212" s="18" t="n"/>
      <c r="E212" s="18" t="n"/>
      <c r="F212" s="18" t="n"/>
      <c r="G212" s="18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5.75" customHeight="1" s="42">
      <c r="A213" s="4" t="n"/>
      <c r="B213" s="18" t="n"/>
      <c r="C213" s="18" t="n"/>
      <c r="D213" s="18" t="n"/>
      <c r="E213" s="18" t="n"/>
      <c r="F213" s="18" t="n"/>
      <c r="G213" s="18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5.75" customHeight="1" s="42">
      <c r="A214" s="4" t="n"/>
      <c r="B214" s="18" t="n"/>
      <c r="C214" s="18" t="n"/>
      <c r="D214" s="18" t="n"/>
      <c r="E214" s="18" t="n"/>
      <c r="F214" s="18" t="n"/>
      <c r="G214" s="18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42">
      <c r="A215" s="4" t="n"/>
      <c r="B215" s="18" t="n"/>
      <c r="C215" s="18" t="n"/>
      <c r="D215" s="18" t="n"/>
      <c r="E215" s="18" t="n"/>
      <c r="F215" s="18" t="n"/>
      <c r="G215" s="18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5.75" customHeight="1" s="42">
      <c r="A216" s="4" t="n"/>
      <c r="B216" s="18" t="n"/>
      <c r="C216" s="18" t="n"/>
      <c r="D216" s="18" t="n"/>
      <c r="E216" s="18" t="n"/>
      <c r="F216" s="18" t="n"/>
      <c r="G216" s="18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5.75" customHeight="1" s="42">
      <c r="A217" s="4" t="n"/>
      <c r="B217" s="18" t="n"/>
      <c r="C217" s="18" t="n"/>
      <c r="D217" s="18" t="n"/>
      <c r="E217" s="18" t="n"/>
      <c r="F217" s="18" t="n"/>
      <c r="G217" s="18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5.75" customHeight="1" s="42">
      <c r="A218" s="4" t="n"/>
      <c r="B218" s="18" t="n"/>
      <c r="C218" s="18" t="n"/>
      <c r="D218" s="18" t="n"/>
      <c r="E218" s="18" t="n"/>
      <c r="F218" s="18" t="n"/>
      <c r="G218" s="18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5.75" customHeight="1" s="42">
      <c r="A219" s="4" t="n"/>
      <c r="B219" s="18" t="n"/>
      <c r="C219" s="18" t="n"/>
      <c r="D219" s="18" t="n"/>
      <c r="E219" s="18" t="n"/>
      <c r="F219" s="18" t="n"/>
      <c r="G219" s="18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5.75" customHeight="1" s="42">
      <c r="A220" s="4" t="n"/>
      <c r="B220" s="18" t="n"/>
      <c r="C220" s="18" t="n"/>
      <c r="D220" s="18" t="n"/>
      <c r="E220" s="18" t="n"/>
      <c r="F220" s="18" t="n"/>
      <c r="G220" s="18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4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5.75" customHeight="1" s="4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5.75" customHeight="1" s="4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5.75" customHeight="1" s="4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5.75" customHeight="1" s="4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/>
    <pageSetUpPr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6"/>
    <col width="8.710000000000001" customWidth="1" style="42" min="7" max="25"/>
  </cols>
  <sheetData>
    <row r="1" ht="17.25" customHeight="1" s="42">
      <c r="A1" s="1" t="inlineStr">
        <is>
          <t>Projection 2026E-2030E</t>
        </is>
      </c>
      <c r="B1" s="11" t="n"/>
      <c r="C1" s="11" t="n"/>
      <c r="D1" s="11" t="n"/>
      <c r="E1" s="11" t="n"/>
      <c r="F1" s="1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29.25" customHeight="1" s="42">
      <c r="A2" s="5" t="inlineStr">
        <is>
          <t>Scenario central: reprise graduelle des volumes, mix premium et discipline cash</t>
        </is>
      </c>
      <c r="B2" s="11" t="n"/>
      <c r="C2" s="11" t="n"/>
      <c r="D2" s="11" t="n"/>
      <c r="E2" s="11" t="n"/>
      <c r="F2" s="11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7.25" customHeight="1" s="42">
      <c r="A3" s="6" t="n"/>
      <c r="B3" s="12" t="inlineStr">
        <is>
          <t>2026E</t>
        </is>
      </c>
      <c r="C3" s="12" t="inlineStr">
        <is>
          <t>2027E</t>
        </is>
      </c>
      <c r="D3" s="12" t="inlineStr">
        <is>
          <t>2028E</t>
        </is>
      </c>
      <c r="E3" s="12" t="inlineStr">
        <is>
          <t>2029E</t>
        </is>
      </c>
      <c r="F3" s="12" t="inlineStr">
        <is>
          <t>2030E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</row>
    <row r="4" ht="17.25" customHeight="1" s="42">
      <c r="A4" s="13" t="inlineStr">
        <is>
          <t>Chiffre d'affaires</t>
        </is>
      </c>
      <c r="B4" s="14">
        <f>Historical!G4*(1+B5)</f>
        <v/>
      </c>
      <c r="C4" s="14">
        <f>B4*(1+C5)</f>
        <v/>
      </c>
      <c r="D4" s="14">
        <f>C4*(1+D5)</f>
        <v/>
      </c>
      <c r="E4" s="14">
        <f>D4*(1+E5)</f>
        <v/>
      </c>
      <c r="F4" s="14">
        <f>E4*(1+F5)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 ht="17.25" customHeight="1" s="42">
      <c r="A5" s="13" t="inlineStr">
        <is>
          <t>Croissance CA</t>
        </is>
      </c>
      <c r="B5" s="15" t="n">
        <v>0.015</v>
      </c>
      <c r="C5" s="15" t="n">
        <v>0.025</v>
      </c>
      <c r="D5" s="15" t="n">
        <v>0.03</v>
      </c>
      <c r="E5" s="15" t="n">
        <v>0.03</v>
      </c>
      <c r="F5" s="15" t="n">
        <v>0.025</v>
      </c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17.25" customHeight="1" s="42">
      <c r="A6" s="13" t="inlineStr">
        <is>
          <t>Marge EBITDA</t>
        </is>
      </c>
      <c r="B6" s="15" t="n">
        <v>0.18</v>
      </c>
      <c r="C6" s="15" t="n">
        <v>0.184</v>
      </c>
      <c r="D6" s="15" t="n">
        <v>0.187</v>
      </c>
      <c r="E6" s="15" t="n">
        <v>0.189</v>
      </c>
      <c r="F6" s="15" t="n">
        <v>0.19</v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 ht="17.25" customHeight="1" s="42">
      <c r="A7" s="13" t="inlineStr">
        <is>
          <t>EBITDA</t>
        </is>
      </c>
      <c r="B7" s="14">
        <f>B4*B6</f>
        <v/>
      </c>
      <c r="C7" s="14">
        <f>C4*C6</f>
        <v/>
      </c>
      <c r="D7" s="14">
        <f>D4*D6</f>
        <v/>
      </c>
      <c r="E7" s="14">
        <f>E4*E6</f>
        <v/>
      </c>
      <c r="F7" s="14">
        <f>F4*F6</f>
        <v/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</row>
    <row r="8" ht="17.25" customHeight="1" s="42">
      <c r="A8" s="13" t="inlineStr">
        <is>
          <t>Marge EBIT secteurs</t>
        </is>
      </c>
      <c r="B8" s="15" t="n">
        <v>0.107</v>
      </c>
      <c r="C8" s="15" t="n">
        <v>0.112</v>
      </c>
      <c r="D8" s="15" t="n">
        <v>0.116</v>
      </c>
      <c r="E8" s="15" t="n">
        <v>0.119</v>
      </c>
      <c r="F8" s="15" t="n">
        <v>0.12</v>
      </c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 ht="17.25" customHeight="1" s="42">
      <c r="A9" s="13" t="inlineStr">
        <is>
          <t>EBIT secteurs</t>
        </is>
      </c>
      <c r="B9" s="14">
        <f>B4*B8</f>
        <v/>
      </c>
      <c r="C9" s="14">
        <f>C4*C8</f>
        <v/>
      </c>
      <c r="D9" s="14">
        <f>D4*D8</f>
        <v/>
      </c>
      <c r="E9" s="14">
        <f>E4*E8</f>
        <v/>
      </c>
      <c r="F9" s="14">
        <f>F4*F8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</row>
    <row r="10" ht="17.25" customHeight="1" s="42">
      <c r="A10" s="13" t="inlineStr">
        <is>
          <t>Taux d'impot</t>
        </is>
      </c>
      <c r="B10" s="15" t="n">
        <v>0.2629317622491242</v>
      </c>
      <c r="C10" s="15" t="n">
        <v>0.2629317622491242</v>
      </c>
      <c r="D10" s="15" t="n">
        <v>0.2629317622491242</v>
      </c>
      <c r="E10" s="15" t="n">
        <v>0.2629317622491242</v>
      </c>
      <c r="F10" s="15" t="n">
        <v>0.2629317622491242</v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</row>
    <row r="11" ht="17.25" customHeight="1" s="42">
      <c r="A11" s="13" t="inlineStr">
        <is>
          <t>NOPAT</t>
        </is>
      </c>
      <c r="B11" s="14">
        <f>B9*(1-B10)</f>
        <v/>
      </c>
      <c r="C11" s="14">
        <f>C9*(1-C10)</f>
        <v/>
      </c>
      <c r="D11" s="14">
        <f>D9*(1-D10)</f>
        <v/>
      </c>
      <c r="E11" s="14">
        <f>E9*(1-E10)</f>
        <v/>
      </c>
      <c r="F11" s="14">
        <f>F9*(1-F10)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 ht="17.25" customHeight="1" s="42">
      <c r="A12" s="13" t="inlineStr">
        <is>
          <t>D&amp;A / CA</t>
        </is>
      </c>
      <c r="B12" s="15" t="n">
        <v>0.073</v>
      </c>
      <c r="C12" s="15" t="n">
        <v>0.07199999999999999</v>
      </c>
      <c r="D12" s="15" t="n">
        <v>0.07099999999999999</v>
      </c>
      <c r="E12" s="15" t="n">
        <v>0.07000000000000001</v>
      </c>
      <c r="F12" s="15" t="n">
        <v>0.07000000000000001</v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</row>
    <row r="13" ht="17.25" customHeight="1" s="42">
      <c r="A13" s="13" t="inlineStr">
        <is>
          <t>D&amp;A</t>
        </is>
      </c>
      <c r="B13" s="14">
        <f>B4*B12</f>
        <v/>
      </c>
      <c r="C13" s="14">
        <f>C4*C12</f>
        <v/>
      </c>
      <c r="D13" s="14">
        <f>D4*D12</f>
        <v/>
      </c>
      <c r="E13" s="14">
        <f>E4*E12</f>
        <v/>
      </c>
      <c r="F13" s="14">
        <f>F4*F12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</row>
    <row r="14" ht="17.25" customHeight="1" s="42">
      <c r="A14" s="13" t="inlineStr">
        <is>
          <t>Capex / CA</t>
        </is>
      </c>
      <c r="B14" s="15" t="n">
        <v>0.073</v>
      </c>
      <c r="C14" s="15" t="n">
        <v>0.07199999999999999</v>
      </c>
      <c r="D14" s="15" t="n">
        <v>0.07099999999999999</v>
      </c>
      <c r="E14" s="15" t="n">
        <v>0.07000000000000001</v>
      </c>
      <c r="F14" s="15" t="n">
        <v>0.07000000000000001</v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 ht="17.25" customHeight="1" s="42">
      <c r="A15" s="13" t="inlineStr">
        <is>
          <t>Capex</t>
        </is>
      </c>
      <c r="B15" s="14">
        <f>B4*B14</f>
        <v/>
      </c>
      <c r="C15" s="14">
        <f>C4*C14</f>
        <v/>
      </c>
      <c r="D15" s="14">
        <f>D4*D14</f>
        <v/>
      </c>
      <c r="E15" s="14">
        <f>E4*E14</f>
        <v/>
      </c>
      <c r="F15" s="14">
        <f>F4*F14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</row>
    <row r="16" ht="17.25" customHeight="1" s="42">
      <c r="A16" s="13" t="inlineStr">
        <is>
          <t>Variation BFR</t>
        </is>
      </c>
      <c r="B16" s="14">
        <f>(B4-Historical!G4)*0.01</f>
        <v/>
      </c>
      <c r="C16" s="14">
        <f>(C4-B4)*0.01</f>
        <v/>
      </c>
      <c r="D16" s="14">
        <f>(D4-C4)*0.01</f>
        <v/>
      </c>
      <c r="E16" s="14">
        <f>(E4-D4)*0.01</f>
        <v/>
      </c>
      <c r="F16" s="14">
        <f>(F4-E4)*0.01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</row>
    <row r="17" ht="17.25" customHeight="1" s="42">
      <c r="A17" s="13" t="inlineStr">
        <is>
          <t>FCFF</t>
        </is>
      </c>
      <c r="B17" s="14">
        <f>B11+B13-B15-B16</f>
        <v/>
      </c>
      <c r="C17" s="14">
        <f>C11+C13-C15-C16</f>
        <v/>
      </c>
      <c r="D17" s="14">
        <f>D11+D13-D15-D16</f>
        <v/>
      </c>
      <c r="E17" s="14">
        <f>E11+E13-E15-E16</f>
        <v/>
      </c>
      <c r="F17" s="14">
        <f>F11+F13-F15-F16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</row>
    <row r="18">
      <c r="A18" s="4" t="n"/>
      <c r="B18" s="19" t="n"/>
      <c r="C18" s="19" t="n"/>
      <c r="D18" s="19" t="n"/>
      <c r="E18" s="19" t="n"/>
      <c r="F18" s="19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A19" s="4" t="n"/>
      <c r="B19" s="19" t="n"/>
      <c r="C19" s="19" t="n"/>
      <c r="D19" s="19" t="n"/>
      <c r="E19" s="19" t="n"/>
      <c r="F19" s="19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  <row r="20">
      <c r="A20" s="4" t="n"/>
      <c r="B20" s="19" t="n"/>
      <c r="C20" s="19" t="n"/>
      <c r="D20" s="19" t="n"/>
      <c r="E20" s="19" t="n"/>
      <c r="F20" s="19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</row>
    <row r="21" ht="15.75" customHeight="1" s="42">
      <c r="A21" s="4" t="n"/>
      <c r="B21" s="19" t="n"/>
      <c r="C21" s="19" t="n"/>
      <c r="D21" s="19" t="n"/>
      <c r="E21" s="19" t="n"/>
      <c r="F21" s="19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</row>
    <row r="22" ht="15.75" customHeight="1" s="42">
      <c r="A22" s="4" t="n"/>
      <c r="B22" s="19" t="n"/>
      <c r="C22" s="19" t="n"/>
      <c r="D22" s="19" t="n"/>
      <c r="E22" s="19" t="n"/>
      <c r="F22" s="19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</row>
    <row r="23" ht="15.75" customHeight="1" s="42">
      <c r="A23" s="4" t="n"/>
      <c r="B23" s="19" t="n"/>
      <c r="C23" s="19" t="n"/>
      <c r="D23" s="19" t="n"/>
      <c r="E23" s="19" t="n"/>
      <c r="F23" s="19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</row>
    <row r="24" ht="15.75" customHeight="1" s="42">
      <c r="A24" s="4" t="n"/>
      <c r="B24" s="19" t="n"/>
      <c r="C24" s="19" t="n"/>
      <c r="D24" s="19" t="n"/>
      <c r="E24" s="19" t="n"/>
      <c r="F24" s="19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</row>
    <row r="25" ht="15.75" customHeight="1" s="42">
      <c r="A25" s="4" t="n"/>
      <c r="B25" s="19" t="n"/>
      <c r="C25" s="19" t="n"/>
      <c r="D25" s="19" t="n"/>
      <c r="E25" s="19" t="n"/>
      <c r="F25" s="19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</row>
    <row r="26" ht="15.75" customHeight="1" s="42">
      <c r="A26" s="4" t="n"/>
      <c r="B26" s="19" t="n"/>
      <c r="C26" s="19" t="n"/>
      <c r="D26" s="19" t="n"/>
      <c r="E26" s="19" t="n"/>
      <c r="F26" s="19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</row>
    <row r="27" ht="15.75" customHeight="1" s="42">
      <c r="A27" s="4" t="n"/>
      <c r="B27" s="19" t="n"/>
      <c r="C27" s="19" t="n"/>
      <c r="D27" s="19" t="n"/>
      <c r="E27" s="19" t="n"/>
      <c r="F27" s="19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</row>
    <row r="28" ht="15.75" customHeight="1" s="42">
      <c r="A28" s="4" t="n"/>
      <c r="B28" s="19" t="n"/>
      <c r="C28" s="19" t="n"/>
      <c r="D28" s="19" t="n"/>
      <c r="E28" s="19" t="n"/>
      <c r="F28" s="19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</row>
    <row r="29" ht="15.75" customHeight="1" s="42">
      <c r="A29" s="4" t="n"/>
      <c r="B29" s="19" t="n"/>
      <c r="C29" s="19" t="n"/>
      <c r="D29" s="19" t="n"/>
      <c r="E29" s="19" t="n"/>
      <c r="F29" s="19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</row>
    <row r="30" ht="15.75" customHeight="1" s="42">
      <c r="A30" s="4" t="n"/>
      <c r="B30" s="19" t="n"/>
      <c r="C30" s="19" t="n"/>
      <c r="D30" s="19" t="n"/>
      <c r="E30" s="19" t="n"/>
      <c r="F30" s="19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</row>
    <row r="31" ht="15.75" customHeight="1" s="42">
      <c r="A31" s="4" t="n"/>
      <c r="B31" s="19" t="n"/>
      <c r="C31" s="19" t="n"/>
      <c r="D31" s="19" t="n"/>
      <c r="E31" s="19" t="n"/>
      <c r="F31" s="19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</row>
    <row r="32" ht="15.75" customHeight="1" s="42">
      <c r="A32" s="4" t="n"/>
      <c r="B32" s="19" t="n"/>
      <c r="C32" s="19" t="n"/>
      <c r="D32" s="19" t="n"/>
      <c r="E32" s="19" t="n"/>
      <c r="F32" s="19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</row>
    <row r="33" ht="15.75" customHeight="1" s="42">
      <c r="A33" s="4" t="n"/>
      <c r="B33" s="19" t="n"/>
      <c r="C33" s="19" t="n"/>
      <c r="D33" s="19" t="n"/>
      <c r="E33" s="19" t="n"/>
      <c r="F33" s="19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</row>
    <row r="34" ht="15.75" customHeight="1" s="42">
      <c r="A34" s="4" t="n"/>
      <c r="B34" s="19" t="n"/>
      <c r="C34" s="19" t="n"/>
      <c r="D34" s="19" t="n"/>
      <c r="E34" s="19" t="n"/>
      <c r="F34" s="19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</row>
    <row r="35" ht="15.75" customHeight="1" s="42">
      <c r="A35" s="4" t="n"/>
      <c r="B35" s="19" t="n"/>
      <c r="C35" s="19" t="n"/>
      <c r="D35" s="19" t="n"/>
      <c r="E35" s="19" t="n"/>
      <c r="F35" s="19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</row>
    <row r="36" ht="15.75" customHeight="1" s="42">
      <c r="A36" s="4" t="n"/>
      <c r="B36" s="19" t="n"/>
      <c r="C36" s="19" t="n"/>
      <c r="D36" s="19" t="n"/>
      <c r="E36" s="19" t="n"/>
      <c r="F36" s="19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</row>
    <row r="37" ht="15.75" customHeight="1" s="42">
      <c r="A37" s="4" t="n"/>
      <c r="B37" s="19" t="n"/>
      <c r="C37" s="19" t="n"/>
      <c r="D37" s="19" t="n"/>
      <c r="E37" s="19" t="n"/>
      <c r="F37" s="19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</row>
    <row r="38" ht="15.75" customHeight="1" s="42">
      <c r="A38" s="4" t="n"/>
      <c r="B38" s="19" t="n"/>
      <c r="C38" s="19" t="n"/>
      <c r="D38" s="19" t="n"/>
      <c r="E38" s="19" t="n"/>
      <c r="F38" s="19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</row>
    <row r="39" ht="15.75" customHeight="1" s="42">
      <c r="A39" s="4" t="n"/>
      <c r="B39" s="19" t="n"/>
      <c r="C39" s="19" t="n"/>
      <c r="D39" s="19" t="n"/>
      <c r="E39" s="19" t="n"/>
      <c r="F39" s="19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</row>
    <row r="40" ht="15.75" customHeight="1" s="42">
      <c r="A40" s="4" t="n"/>
      <c r="B40" s="19" t="n"/>
      <c r="C40" s="19" t="n"/>
      <c r="D40" s="19" t="n"/>
      <c r="E40" s="19" t="n"/>
      <c r="F40" s="19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</row>
    <row r="41" ht="15.75" customHeight="1" s="42">
      <c r="A41" s="4" t="n"/>
      <c r="B41" s="19" t="n"/>
      <c r="C41" s="19" t="n"/>
      <c r="D41" s="19" t="n"/>
      <c r="E41" s="19" t="n"/>
      <c r="F41" s="19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</row>
    <row r="42" ht="15.75" customHeight="1" s="42">
      <c r="A42" s="4" t="n"/>
      <c r="B42" s="19" t="n"/>
      <c r="C42" s="19" t="n"/>
      <c r="D42" s="19" t="n"/>
      <c r="E42" s="19" t="n"/>
      <c r="F42" s="19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</row>
    <row r="43" ht="15.75" customHeight="1" s="42">
      <c r="A43" s="4" t="n"/>
      <c r="B43" s="19" t="n"/>
      <c r="C43" s="19" t="n"/>
      <c r="D43" s="19" t="n"/>
      <c r="E43" s="19" t="n"/>
      <c r="F43" s="19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</row>
    <row r="44" ht="15.75" customHeight="1" s="42">
      <c r="A44" s="4" t="n"/>
      <c r="B44" s="19" t="n"/>
      <c r="C44" s="19" t="n"/>
      <c r="D44" s="19" t="n"/>
      <c r="E44" s="19" t="n"/>
      <c r="F44" s="19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</row>
    <row r="45" ht="15.75" customHeight="1" s="42">
      <c r="A45" s="4" t="n"/>
      <c r="B45" s="19" t="n"/>
      <c r="C45" s="19" t="n"/>
      <c r="D45" s="19" t="n"/>
      <c r="E45" s="19" t="n"/>
      <c r="F45" s="19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</row>
    <row r="46" ht="15.75" customHeight="1" s="42">
      <c r="A46" s="4" t="n"/>
      <c r="B46" s="19" t="n"/>
      <c r="C46" s="19" t="n"/>
      <c r="D46" s="19" t="n"/>
      <c r="E46" s="19" t="n"/>
      <c r="F46" s="19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</row>
    <row r="47" ht="15.75" customHeight="1" s="42">
      <c r="A47" s="4" t="n"/>
      <c r="B47" s="19" t="n"/>
      <c r="C47" s="19" t="n"/>
      <c r="D47" s="19" t="n"/>
      <c r="E47" s="19" t="n"/>
      <c r="F47" s="19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</row>
    <row r="48" ht="15.75" customHeight="1" s="42">
      <c r="A48" s="4" t="n"/>
      <c r="B48" s="19" t="n"/>
      <c r="C48" s="19" t="n"/>
      <c r="D48" s="19" t="n"/>
      <c r="E48" s="19" t="n"/>
      <c r="F48" s="19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</row>
    <row r="49" ht="15.75" customHeight="1" s="42">
      <c r="A49" s="4" t="n"/>
      <c r="B49" s="19" t="n"/>
      <c r="C49" s="19" t="n"/>
      <c r="D49" s="19" t="n"/>
      <c r="E49" s="19" t="n"/>
      <c r="F49" s="19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</row>
    <row r="50" ht="15.75" customHeight="1" s="42">
      <c r="A50" s="4" t="n"/>
      <c r="B50" s="19" t="n"/>
      <c r="C50" s="19" t="n"/>
      <c r="D50" s="19" t="n"/>
      <c r="E50" s="19" t="n"/>
      <c r="F50" s="19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</row>
    <row r="51" ht="15.75" customHeight="1" s="42">
      <c r="A51" s="4" t="n"/>
      <c r="B51" s="19" t="n"/>
      <c r="C51" s="19" t="n"/>
      <c r="D51" s="19" t="n"/>
      <c r="E51" s="19" t="n"/>
      <c r="F51" s="19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</row>
    <row r="52" ht="15.75" customHeight="1" s="42">
      <c r="A52" s="4" t="n"/>
      <c r="B52" s="19" t="n"/>
      <c r="C52" s="19" t="n"/>
      <c r="D52" s="19" t="n"/>
      <c r="E52" s="19" t="n"/>
      <c r="F52" s="19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</row>
    <row r="53" ht="15.75" customHeight="1" s="42">
      <c r="A53" s="4" t="n"/>
      <c r="B53" s="19" t="n"/>
      <c r="C53" s="19" t="n"/>
      <c r="D53" s="19" t="n"/>
      <c r="E53" s="19" t="n"/>
      <c r="F53" s="19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</row>
    <row r="54" ht="15.75" customHeight="1" s="42">
      <c r="A54" s="4" t="n"/>
      <c r="B54" s="19" t="n"/>
      <c r="C54" s="19" t="n"/>
      <c r="D54" s="19" t="n"/>
      <c r="E54" s="19" t="n"/>
      <c r="F54" s="19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</row>
    <row r="55" ht="15.75" customHeight="1" s="42">
      <c r="A55" s="4" t="n"/>
      <c r="B55" s="19" t="n"/>
      <c r="C55" s="19" t="n"/>
      <c r="D55" s="19" t="n"/>
      <c r="E55" s="19" t="n"/>
      <c r="F55" s="19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</row>
    <row r="56" ht="15.75" customHeight="1" s="42">
      <c r="A56" s="4" t="n"/>
      <c r="B56" s="19" t="n"/>
      <c r="C56" s="19" t="n"/>
      <c r="D56" s="19" t="n"/>
      <c r="E56" s="19" t="n"/>
      <c r="F56" s="19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</row>
    <row r="57" ht="15.75" customHeight="1" s="42">
      <c r="A57" s="4" t="n"/>
      <c r="B57" s="19" t="n"/>
      <c r="C57" s="19" t="n"/>
      <c r="D57" s="19" t="n"/>
      <c r="E57" s="19" t="n"/>
      <c r="F57" s="19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</row>
    <row r="58" ht="15.75" customHeight="1" s="42">
      <c r="A58" s="4" t="n"/>
      <c r="B58" s="19" t="n"/>
      <c r="C58" s="19" t="n"/>
      <c r="D58" s="19" t="n"/>
      <c r="E58" s="19" t="n"/>
      <c r="F58" s="19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</row>
    <row r="59" ht="15.75" customHeight="1" s="42">
      <c r="A59" s="4" t="n"/>
      <c r="B59" s="19" t="n"/>
      <c r="C59" s="19" t="n"/>
      <c r="D59" s="19" t="n"/>
      <c r="E59" s="19" t="n"/>
      <c r="F59" s="19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</row>
    <row r="60" ht="15.75" customHeight="1" s="42">
      <c r="A60" s="4" t="n"/>
      <c r="B60" s="19" t="n"/>
      <c r="C60" s="19" t="n"/>
      <c r="D60" s="19" t="n"/>
      <c r="E60" s="19" t="n"/>
      <c r="F60" s="19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</row>
    <row r="61" ht="15.75" customHeight="1" s="42">
      <c r="A61" s="4" t="n"/>
      <c r="B61" s="19" t="n"/>
      <c r="C61" s="19" t="n"/>
      <c r="D61" s="19" t="n"/>
      <c r="E61" s="19" t="n"/>
      <c r="F61" s="19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</row>
    <row r="62" ht="15.75" customHeight="1" s="42">
      <c r="A62" s="4" t="n"/>
      <c r="B62" s="19" t="n"/>
      <c r="C62" s="19" t="n"/>
      <c r="D62" s="19" t="n"/>
      <c r="E62" s="19" t="n"/>
      <c r="F62" s="19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</row>
    <row r="63" ht="15.75" customHeight="1" s="42">
      <c r="A63" s="4" t="n"/>
      <c r="B63" s="19" t="n"/>
      <c r="C63" s="19" t="n"/>
      <c r="D63" s="19" t="n"/>
      <c r="E63" s="19" t="n"/>
      <c r="F63" s="19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</row>
    <row r="64" ht="15.75" customHeight="1" s="42">
      <c r="A64" s="4" t="n"/>
      <c r="B64" s="19" t="n"/>
      <c r="C64" s="19" t="n"/>
      <c r="D64" s="19" t="n"/>
      <c r="E64" s="19" t="n"/>
      <c r="F64" s="19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</row>
    <row r="65" ht="15.75" customHeight="1" s="42">
      <c r="A65" s="4" t="n"/>
      <c r="B65" s="19" t="n"/>
      <c r="C65" s="19" t="n"/>
      <c r="D65" s="19" t="n"/>
      <c r="E65" s="19" t="n"/>
      <c r="F65" s="19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</row>
    <row r="66" ht="15.75" customHeight="1" s="42">
      <c r="A66" s="4" t="n"/>
      <c r="B66" s="19" t="n"/>
      <c r="C66" s="19" t="n"/>
      <c r="D66" s="19" t="n"/>
      <c r="E66" s="19" t="n"/>
      <c r="F66" s="19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</row>
    <row r="67" ht="15.75" customHeight="1" s="42">
      <c r="A67" s="4" t="n"/>
      <c r="B67" s="19" t="n"/>
      <c r="C67" s="19" t="n"/>
      <c r="D67" s="19" t="n"/>
      <c r="E67" s="19" t="n"/>
      <c r="F67" s="19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</row>
    <row r="68" ht="15.75" customHeight="1" s="42">
      <c r="A68" s="4" t="n"/>
      <c r="B68" s="19" t="n"/>
      <c r="C68" s="19" t="n"/>
      <c r="D68" s="19" t="n"/>
      <c r="E68" s="19" t="n"/>
      <c r="F68" s="19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</row>
    <row r="69" ht="15.75" customHeight="1" s="42">
      <c r="A69" s="4" t="n"/>
      <c r="B69" s="19" t="n"/>
      <c r="C69" s="19" t="n"/>
      <c r="D69" s="19" t="n"/>
      <c r="E69" s="19" t="n"/>
      <c r="F69" s="19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</row>
    <row r="70" ht="15.75" customHeight="1" s="42">
      <c r="A70" s="4" t="n"/>
      <c r="B70" s="19" t="n"/>
      <c r="C70" s="19" t="n"/>
      <c r="D70" s="19" t="n"/>
      <c r="E70" s="19" t="n"/>
      <c r="F70" s="19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</row>
    <row r="71" ht="15.75" customHeight="1" s="42">
      <c r="A71" s="4" t="n"/>
      <c r="B71" s="19" t="n"/>
      <c r="C71" s="19" t="n"/>
      <c r="D71" s="19" t="n"/>
      <c r="E71" s="19" t="n"/>
      <c r="F71" s="19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</row>
    <row r="72" ht="15.75" customHeight="1" s="42">
      <c r="A72" s="4" t="n"/>
      <c r="B72" s="19" t="n"/>
      <c r="C72" s="19" t="n"/>
      <c r="D72" s="19" t="n"/>
      <c r="E72" s="19" t="n"/>
      <c r="F72" s="19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</row>
    <row r="73" ht="15.75" customHeight="1" s="42">
      <c r="A73" s="4" t="n"/>
      <c r="B73" s="19" t="n"/>
      <c r="C73" s="19" t="n"/>
      <c r="D73" s="19" t="n"/>
      <c r="E73" s="19" t="n"/>
      <c r="F73" s="19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</row>
    <row r="74" ht="15.75" customHeight="1" s="42">
      <c r="A74" s="4" t="n"/>
      <c r="B74" s="19" t="n"/>
      <c r="C74" s="19" t="n"/>
      <c r="D74" s="19" t="n"/>
      <c r="E74" s="19" t="n"/>
      <c r="F74" s="19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</row>
    <row r="75" ht="15.75" customHeight="1" s="42">
      <c r="A75" s="4" t="n"/>
      <c r="B75" s="19" t="n"/>
      <c r="C75" s="19" t="n"/>
      <c r="D75" s="19" t="n"/>
      <c r="E75" s="19" t="n"/>
      <c r="F75" s="19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</row>
    <row r="76" ht="15.75" customHeight="1" s="42">
      <c r="A76" s="4" t="n"/>
      <c r="B76" s="19" t="n"/>
      <c r="C76" s="19" t="n"/>
      <c r="D76" s="19" t="n"/>
      <c r="E76" s="19" t="n"/>
      <c r="F76" s="19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</row>
    <row r="77" ht="15.75" customHeight="1" s="42">
      <c r="A77" s="4" t="n"/>
      <c r="B77" s="19" t="n"/>
      <c r="C77" s="19" t="n"/>
      <c r="D77" s="19" t="n"/>
      <c r="E77" s="19" t="n"/>
      <c r="F77" s="19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</row>
    <row r="78" ht="15.75" customHeight="1" s="42">
      <c r="A78" s="4" t="n"/>
      <c r="B78" s="19" t="n"/>
      <c r="C78" s="19" t="n"/>
      <c r="D78" s="19" t="n"/>
      <c r="E78" s="19" t="n"/>
      <c r="F78" s="19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</row>
    <row r="79" ht="15.75" customHeight="1" s="42">
      <c r="A79" s="4" t="n"/>
      <c r="B79" s="19" t="n"/>
      <c r="C79" s="19" t="n"/>
      <c r="D79" s="19" t="n"/>
      <c r="E79" s="19" t="n"/>
      <c r="F79" s="19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</row>
    <row r="80" ht="15.75" customHeight="1" s="42">
      <c r="A80" s="4" t="n"/>
      <c r="B80" s="19" t="n"/>
      <c r="C80" s="19" t="n"/>
      <c r="D80" s="19" t="n"/>
      <c r="E80" s="19" t="n"/>
      <c r="F80" s="19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</row>
    <row r="81" ht="15.75" customHeight="1" s="42">
      <c r="A81" s="4" t="n"/>
      <c r="B81" s="19" t="n"/>
      <c r="C81" s="19" t="n"/>
      <c r="D81" s="19" t="n"/>
      <c r="E81" s="19" t="n"/>
      <c r="F81" s="19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</row>
    <row r="82" ht="15.75" customHeight="1" s="42">
      <c r="A82" s="4" t="n"/>
      <c r="B82" s="19" t="n"/>
      <c r="C82" s="19" t="n"/>
      <c r="D82" s="19" t="n"/>
      <c r="E82" s="19" t="n"/>
      <c r="F82" s="19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</row>
    <row r="83" ht="15.75" customHeight="1" s="42">
      <c r="A83" s="4" t="n"/>
      <c r="B83" s="19" t="n"/>
      <c r="C83" s="19" t="n"/>
      <c r="D83" s="19" t="n"/>
      <c r="E83" s="19" t="n"/>
      <c r="F83" s="19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</row>
    <row r="84" ht="15.75" customHeight="1" s="42">
      <c r="A84" s="4" t="n"/>
      <c r="B84" s="19" t="n"/>
      <c r="C84" s="19" t="n"/>
      <c r="D84" s="19" t="n"/>
      <c r="E84" s="19" t="n"/>
      <c r="F84" s="19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</row>
    <row r="85" ht="15.75" customHeight="1" s="42">
      <c r="A85" s="4" t="n"/>
      <c r="B85" s="19" t="n"/>
      <c r="C85" s="19" t="n"/>
      <c r="D85" s="19" t="n"/>
      <c r="E85" s="19" t="n"/>
      <c r="F85" s="19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</row>
    <row r="86" ht="15.75" customHeight="1" s="42">
      <c r="A86" s="4" t="n"/>
      <c r="B86" s="19" t="n"/>
      <c r="C86" s="19" t="n"/>
      <c r="D86" s="19" t="n"/>
      <c r="E86" s="19" t="n"/>
      <c r="F86" s="19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</row>
    <row r="87" ht="15.75" customHeight="1" s="42">
      <c r="A87" s="4" t="n"/>
      <c r="B87" s="19" t="n"/>
      <c r="C87" s="19" t="n"/>
      <c r="D87" s="19" t="n"/>
      <c r="E87" s="19" t="n"/>
      <c r="F87" s="19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</row>
    <row r="88" ht="15.75" customHeight="1" s="42">
      <c r="A88" s="4" t="n"/>
      <c r="B88" s="19" t="n"/>
      <c r="C88" s="19" t="n"/>
      <c r="D88" s="19" t="n"/>
      <c r="E88" s="19" t="n"/>
      <c r="F88" s="19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</row>
    <row r="89" ht="15.75" customHeight="1" s="42">
      <c r="A89" s="4" t="n"/>
      <c r="B89" s="19" t="n"/>
      <c r="C89" s="19" t="n"/>
      <c r="D89" s="19" t="n"/>
      <c r="E89" s="19" t="n"/>
      <c r="F89" s="19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</row>
    <row r="90" ht="15.75" customHeight="1" s="42">
      <c r="A90" s="4" t="n"/>
      <c r="B90" s="19" t="n"/>
      <c r="C90" s="19" t="n"/>
      <c r="D90" s="19" t="n"/>
      <c r="E90" s="19" t="n"/>
      <c r="F90" s="19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</row>
    <row r="91" ht="15.75" customHeight="1" s="42">
      <c r="A91" s="4" t="n"/>
      <c r="B91" s="19" t="n"/>
      <c r="C91" s="19" t="n"/>
      <c r="D91" s="19" t="n"/>
      <c r="E91" s="19" t="n"/>
      <c r="F91" s="19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</row>
    <row r="92" ht="15.75" customHeight="1" s="42">
      <c r="A92" s="4" t="n"/>
      <c r="B92" s="19" t="n"/>
      <c r="C92" s="19" t="n"/>
      <c r="D92" s="19" t="n"/>
      <c r="E92" s="19" t="n"/>
      <c r="F92" s="19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</row>
    <row r="93" ht="15.75" customHeight="1" s="42">
      <c r="A93" s="4" t="n"/>
      <c r="B93" s="19" t="n"/>
      <c r="C93" s="19" t="n"/>
      <c r="D93" s="19" t="n"/>
      <c r="E93" s="19" t="n"/>
      <c r="F93" s="19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</row>
    <row r="94" ht="15.75" customHeight="1" s="42">
      <c r="A94" s="4" t="n"/>
      <c r="B94" s="19" t="n"/>
      <c r="C94" s="19" t="n"/>
      <c r="D94" s="19" t="n"/>
      <c r="E94" s="19" t="n"/>
      <c r="F94" s="19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</row>
    <row r="95" ht="15.75" customHeight="1" s="42">
      <c r="A95" s="4" t="n"/>
      <c r="B95" s="19" t="n"/>
      <c r="C95" s="19" t="n"/>
      <c r="D95" s="19" t="n"/>
      <c r="E95" s="19" t="n"/>
      <c r="F95" s="19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</row>
    <row r="96" ht="15.75" customHeight="1" s="42">
      <c r="A96" s="4" t="n"/>
      <c r="B96" s="19" t="n"/>
      <c r="C96" s="19" t="n"/>
      <c r="D96" s="19" t="n"/>
      <c r="E96" s="19" t="n"/>
      <c r="F96" s="19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</row>
    <row r="97" ht="15.75" customHeight="1" s="42">
      <c r="A97" s="4" t="n"/>
      <c r="B97" s="19" t="n"/>
      <c r="C97" s="19" t="n"/>
      <c r="D97" s="19" t="n"/>
      <c r="E97" s="19" t="n"/>
      <c r="F97" s="19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</row>
    <row r="98" ht="15.75" customHeight="1" s="42">
      <c r="A98" s="4" t="n"/>
      <c r="B98" s="19" t="n"/>
      <c r="C98" s="19" t="n"/>
      <c r="D98" s="19" t="n"/>
      <c r="E98" s="19" t="n"/>
      <c r="F98" s="19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</row>
    <row r="99" ht="15.75" customHeight="1" s="42">
      <c r="A99" s="4" t="n"/>
      <c r="B99" s="19" t="n"/>
      <c r="C99" s="19" t="n"/>
      <c r="D99" s="19" t="n"/>
      <c r="E99" s="19" t="n"/>
      <c r="F99" s="19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</row>
    <row r="100" ht="15.75" customHeight="1" s="42">
      <c r="A100" s="4" t="n"/>
      <c r="B100" s="19" t="n"/>
      <c r="C100" s="19" t="n"/>
      <c r="D100" s="19" t="n"/>
      <c r="E100" s="19" t="n"/>
      <c r="F100" s="19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</row>
    <row r="101" ht="15.75" customHeight="1" s="42">
      <c r="A101" s="4" t="n"/>
      <c r="B101" s="19" t="n"/>
      <c r="C101" s="19" t="n"/>
      <c r="D101" s="19" t="n"/>
      <c r="E101" s="19" t="n"/>
      <c r="F101" s="19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</row>
    <row r="102" ht="15.75" customHeight="1" s="42">
      <c r="A102" s="4" t="n"/>
      <c r="B102" s="19" t="n"/>
      <c r="C102" s="19" t="n"/>
      <c r="D102" s="19" t="n"/>
      <c r="E102" s="19" t="n"/>
      <c r="F102" s="19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</row>
    <row r="103" ht="15.75" customHeight="1" s="42">
      <c r="A103" s="4" t="n"/>
      <c r="B103" s="19" t="n"/>
      <c r="C103" s="19" t="n"/>
      <c r="D103" s="19" t="n"/>
      <c r="E103" s="19" t="n"/>
      <c r="F103" s="19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</row>
    <row r="104" ht="15.75" customHeight="1" s="42">
      <c r="A104" s="4" t="n"/>
      <c r="B104" s="19" t="n"/>
      <c r="C104" s="19" t="n"/>
      <c r="D104" s="19" t="n"/>
      <c r="E104" s="19" t="n"/>
      <c r="F104" s="19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</row>
    <row r="105" ht="15.75" customHeight="1" s="42">
      <c r="A105" s="4" t="n"/>
      <c r="B105" s="19" t="n"/>
      <c r="C105" s="19" t="n"/>
      <c r="D105" s="19" t="n"/>
      <c r="E105" s="19" t="n"/>
      <c r="F105" s="19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</row>
    <row r="106" ht="15.75" customHeight="1" s="42">
      <c r="A106" s="4" t="n"/>
      <c r="B106" s="19" t="n"/>
      <c r="C106" s="19" t="n"/>
      <c r="D106" s="19" t="n"/>
      <c r="E106" s="19" t="n"/>
      <c r="F106" s="19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</row>
    <row r="107" ht="15.75" customHeight="1" s="42">
      <c r="A107" s="4" t="n"/>
      <c r="B107" s="19" t="n"/>
      <c r="C107" s="19" t="n"/>
      <c r="D107" s="19" t="n"/>
      <c r="E107" s="19" t="n"/>
      <c r="F107" s="19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</row>
    <row r="108" ht="15.75" customHeight="1" s="42">
      <c r="A108" s="4" t="n"/>
      <c r="B108" s="19" t="n"/>
      <c r="C108" s="19" t="n"/>
      <c r="D108" s="19" t="n"/>
      <c r="E108" s="19" t="n"/>
      <c r="F108" s="19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</row>
    <row r="109" ht="15.75" customHeight="1" s="42">
      <c r="A109" s="4" t="n"/>
      <c r="B109" s="19" t="n"/>
      <c r="C109" s="19" t="n"/>
      <c r="D109" s="19" t="n"/>
      <c r="E109" s="19" t="n"/>
      <c r="F109" s="19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</row>
    <row r="110" ht="15.75" customHeight="1" s="42">
      <c r="A110" s="4" t="n"/>
      <c r="B110" s="19" t="n"/>
      <c r="C110" s="19" t="n"/>
      <c r="D110" s="19" t="n"/>
      <c r="E110" s="19" t="n"/>
      <c r="F110" s="19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</row>
    <row r="111" ht="15.75" customHeight="1" s="42">
      <c r="A111" s="4" t="n"/>
      <c r="B111" s="19" t="n"/>
      <c r="C111" s="19" t="n"/>
      <c r="D111" s="19" t="n"/>
      <c r="E111" s="19" t="n"/>
      <c r="F111" s="19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</row>
    <row r="112" ht="15.75" customHeight="1" s="42">
      <c r="A112" s="4" t="n"/>
      <c r="B112" s="19" t="n"/>
      <c r="C112" s="19" t="n"/>
      <c r="D112" s="19" t="n"/>
      <c r="E112" s="19" t="n"/>
      <c r="F112" s="19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</row>
    <row r="113" ht="15.75" customHeight="1" s="42">
      <c r="A113" s="4" t="n"/>
      <c r="B113" s="19" t="n"/>
      <c r="C113" s="19" t="n"/>
      <c r="D113" s="19" t="n"/>
      <c r="E113" s="19" t="n"/>
      <c r="F113" s="19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</row>
    <row r="114" ht="15.75" customHeight="1" s="42">
      <c r="A114" s="4" t="n"/>
      <c r="B114" s="19" t="n"/>
      <c r="C114" s="19" t="n"/>
      <c r="D114" s="19" t="n"/>
      <c r="E114" s="19" t="n"/>
      <c r="F114" s="19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</row>
    <row r="115" ht="15.75" customHeight="1" s="42">
      <c r="A115" s="4" t="n"/>
      <c r="B115" s="19" t="n"/>
      <c r="C115" s="19" t="n"/>
      <c r="D115" s="19" t="n"/>
      <c r="E115" s="19" t="n"/>
      <c r="F115" s="19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</row>
    <row r="116" ht="15.75" customHeight="1" s="42">
      <c r="A116" s="4" t="n"/>
      <c r="B116" s="19" t="n"/>
      <c r="C116" s="19" t="n"/>
      <c r="D116" s="19" t="n"/>
      <c r="E116" s="19" t="n"/>
      <c r="F116" s="19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</row>
    <row r="117" ht="15.75" customHeight="1" s="42">
      <c r="A117" s="4" t="n"/>
      <c r="B117" s="19" t="n"/>
      <c r="C117" s="19" t="n"/>
      <c r="D117" s="19" t="n"/>
      <c r="E117" s="19" t="n"/>
      <c r="F117" s="19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</row>
    <row r="118" ht="15.75" customHeight="1" s="42">
      <c r="A118" s="4" t="n"/>
      <c r="B118" s="19" t="n"/>
      <c r="C118" s="19" t="n"/>
      <c r="D118" s="19" t="n"/>
      <c r="E118" s="19" t="n"/>
      <c r="F118" s="19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</row>
    <row r="119" ht="15.75" customHeight="1" s="42">
      <c r="A119" s="4" t="n"/>
      <c r="B119" s="19" t="n"/>
      <c r="C119" s="19" t="n"/>
      <c r="D119" s="19" t="n"/>
      <c r="E119" s="19" t="n"/>
      <c r="F119" s="19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</row>
    <row r="120" ht="15.75" customHeight="1" s="42">
      <c r="A120" s="4" t="n"/>
      <c r="B120" s="19" t="n"/>
      <c r="C120" s="19" t="n"/>
      <c r="D120" s="19" t="n"/>
      <c r="E120" s="19" t="n"/>
      <c r="F120" s="19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</row>
    <row r="121" ht="15.75" customHeight="1" s="42">
      <c r="A121" s="4" t="n"/>
      <c r="B121" s="19" t="n"/>
      <c r="C121" s="19" t="n"/>
      <c r="D121" s="19" t="n"/>
      <c r="E121" s="19" t="n"/>
      <c r="F121" s="19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</row>
    <row r="122" ht="15.75" customHeight="1" s="42">
      <c r="A122" s="4" t="n"/>
      <c r="B122" s="19" t="n"/>
      <c r="C122" s="19" t="n"/>
      <c r="D122" s="19" t="n"/>
      <c r="E122" s="19" t="n"/>
      <c r="F122" s="19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</row>
    <row r="123" ht="15.75" customHeight="1" s="42">
      <c r="A123" s="4" t="n"/>
      <c r="B123" s="19" t="n"/>
      <c r="C123" s="19" t="n"/>
      <c r="D123" s="19" t="n"/>
      <c r="E123" s="19" t="n"/>
      <c r="F123" s="19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</row>
    <row r="124" ht="15.75" customHeight="1" s="42">
      <c r="A124" s="4" t="n"/>
      <c r="B124" s="19" t="n"/>
      <c r="C124" s="19" t="n"/>
      <c r="D124" s="19" t="n"/>
      <c r="E124" s="19" t="n"/>
      <c r="F124" s="19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</row>
    <row r="125" ht="15.75" customHeight="1" s="42">
      <c r="A125" s="4" t="n"/>
      <c r="B125" s="19" t="n"/>
      <c r="C125" s="19" t="n"/>
      <c r="D125" s="19" t="n"/>
      <c r="E125" s="19" t="n"/>
      <c r="F125" s="19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</row>
    <row r="126" ht="15.75" customHeight="1" s="42">
      <c r="A126" s="4" t="n"/>
      <c r="B126" s="19" t="n"/>
      <c r="C126" s="19" t="n"/>
      <c r="D126" s="19" t="n"/>
      <c r="E126" s="19" t="n"/>
      <c r="F126" s="19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</row>
    <row r="127" ht="15.75" customHeight="1" s="42">
      <c r="A127" s="4" t="n"/>
      <c r="B127" s="19" t="n"/>
      <c r="C127" s="19" t="n"/>
      <c r="D127" s="19" t="n"/>
      <c r="E127" s="19" t="n"/>
      <c r="F127" s="19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</row>
    <row r="128" ht="15.75" customHeight="1" s="42">
      <c r="A128" s="4" t="n"/>
      <c r="B128" s="19" t="n"/>
      <c r="C128" s="19" t="n"/>
      <c r="D128" s="19" t="n"/>
      <c r="E128" s="19" t="n"/>
      <c r="F128" s="19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</row>
    <row r="129" ht="15.75" customHeight="1" s="42">
      <c r="A129" s="4" t="n"/>
      <c r="B129" s="19" t="n"/>
      <c r="C129" s="19" t="n"/>
      <c r="D129" s="19" t="n"/>
      <c r="E129" s="19" t="n"/>
      <c r="F129" s="19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</row>
    <row r="130" ht="15.75" customHeight="1" s="42">
      <c r="A130" s="4" t="n"/>
      <c r="B130" s="19" t="n"/>
      <c r="C130" s="19" t="n"/>
      <c r="D130" s="19" t="n"/>
      <c r="E130" s="19" t="n"/>
      <c r="F130" s="19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</row>
    <row r="131" ht="15.75" customHeight="1" s="42">
      <c r="A131" s="4" t="n"/>
      <c r="B131" s="19" t="n"/>
      <c r="C131" s="19" t="n"/>
      <c r="D131" s="19" t="n"/>
      <c r="E131" s="19" t="n"/>
      <c r="F131" s="19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</row>
    <row r="132" ht="15.75" customHeight="1" s="42">
      <c r="A132" s="4" t="n"/>
      <c r="B132" s="19" t="n"/>
      <c r="C132" s="19" t="n"/>
      <c r="D132" s="19" t="n"/>
      <c r="E132" s="19" t="n"/>
      <c r="F132" s="19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</row>
    <row r="133" ht="15.75" customHeight="1" s="42">
      <c r="A133" s="4" t="n"/>
      <c r="B133" s="19" t="n"/>
      <c r="C133" s="19" t="n"/>
      <c r="D133" s="19" t="n"/>
      <c r="E133" s="19" t="n"/>
      <c r="F133" s="19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</row>
    <row r="134" ht="15.75" customHeight="1" s="42">
      <c r="A134" s="4" t="n"/>
      <c r="B134" s="19" t="n"/>
      <c r="C134" s="19" t="n"/>
      <c r="D134" s="19" t="n"/>
      <c r="E134" s="19" t="n"/>
      <c r="F134" s="19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</row>
    <row r="135" ht="15.75" customHeight="1" s="42">
      <c r="A135" s="4" t="n"/>
      <c r="B135" s="19" t="n"/>
      <c r="C135" s="19" t="n"/>
      <c r="D135" s="19" t="n"/>
      <c r="E135" s="19" t="n"/>
      <c r="F135" s="19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</row>
    <row r="136" ht="15.75" customHeight="1" s="42">
      <c r="A136" s="4" t="n"/>
      <c r="B136" s="19" t="n"/>
      <c r="C136" s="19" t="n"/>
      <c r="D136" s="19" t="n"/>
      <c r="E136" s="19" t="n"/>
      <c r="F136" s="19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</row>
    <row r="137" ht="15.75" customHeight="1" s="42">
      <c r="A137" s="4" t="n"/>
      <c r="B137" s="19" t="n"/>
      <c r="C137" s="19" t="n"/>
      <c r="D137" s="19" t="n"/>
      <c r="E137" s="19" t="n"/>
      <c r="F137" s="19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</row>
    <row r="138" ht="15.75" customHeight="1" s="42">
      <c r="A138" s="4" t="n"/>
      <c r="B138" s="19" t="n"/>
      <c r="C138" s="19" t="n"/>
      <c r="D138" s="19" t="n"/>
      <c r="E138" s="19" t="n"/>
      <c r="F138" s="19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</row>
    <row r="139" ht="15.75" customHeight="1" s="42">
      <c r="A139" s="4" t="n"/>
      <c r="B139" s="19" t="n"/>
      <c r="C139" s="19" t="n"/>
      <c r="D139" s="19" t="n"/>
      <c r="E139" s="19" t="n"/>
      <c r="F139" s="19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</row>
    <row r="140" ht="15.75" customHeight="1" s="42">
      <c r="A140" s="4" t="n"/>
      <c r="B140" s="19" t="n"/>
      <c r="C140" s="19" t="n"/>
      <c r="D140" s="19" t="n"/>
      <c r="E140" s="19" t="n"/>
      <c r="F140" s="19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</row>
    <row r="141" ht="15.75" customHeight="1" s="42">
      <c r="A141" s="4" t="n"/>
      <c r="B141" s="19" t="n"/>
      <c r="C141" s="19" t="n"/>
      <c r="D141" s="19" t="n"/>
      <c r="E141" s="19" t="n"/>
      <c r="F141" s="19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</row>
    <row r="142" ht="15.75" customHeight="1" s="42">
      <c r="A142" s="4" t="n"/>
      <c r="B142" s="19" t="n"/>
      <c r="C142" s="19" t="n"/>
      <c r="D142" s="19" t="n"/>
      <c r="E142" s="19" t="n"/>
      <c r="F142" s="19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</row>
    <row r="143" ht="15.75" customHeight="1" s="42">
      <c r="A143" s="4" t="n"/>
      <c r="B143" s="19" t="n"/>
      <c r="C143" s="19" t="n"/>
      <c r="D143" s="19" t="n"/>
      <c r="E143" s="19" t="n"/>
      <c r="F143" s="19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</row>
    <row r="144" ht="15.75" customHeight="1" s="42">
      <c r="A144" s="4" t="n"/>
      <c r="B144" s="19" t="n"/>
      <c r="C144" s="19" t="n"/>
      <c r="D144" s="19" t="n"/>
      <c r="E144" s="19" t="n"/>
      <c r="F144" s="19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</row>
    <row r="145" ht="15.75" customHeight="1" s="42">
      <c r="A145" s="4" t="n"/>
      <c r="B145" s="19" t="n"/>
      <c r="C145" s="19" t="n"/>
      <c r="D145" s="19" t="n"/>
      <c r="E145" s="19" t="n"/>
      <c r="F145" s="19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</row>
    <row r="146" ht="15.75" customHeight="1" s="42">
      <c r="A146" s="4" t="n"/>
      <c r="B146" s="19" t="n"/>
      <c r="C146" s="19" t="n"/>
      <c r="D146" s="19" t="n"/>
      <c r="E146" s="19" t="n"/>
      <c r="F146" s="19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</row>
    <row r="147" ht="15.75" customHeight="1" s="42">
      <c r="A147" s="4" t="n"/>
      <c r="B147" s="19" t="n"/>
      <c r="C147" s="19" t="n"/>
      <c r="D147" s="19" t="n"/>
      <c r="E147" s="19" t="n"/>
      <c r="F147" s="19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</row>
    <row r="148" ht="15.75" customHeight="1" s="42">
      <c r="A148" s="4" t="n"/>
      <c r="B148" s="19" t="n"/>
      <c r="C148" s="19" t="n"/>
      <c r="D148" s="19" t="n"/>
      <c r="E148" s="19" t="n"/>
      <c r="F148" s="19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</row>
    <row r="149" ht="15.75" customHeight="1" s="42">
      <c r="A149" s="4" t="n"/>
      <c r="B149" s="19" t="n"/>
      <c r="C149" s="19" t="n"/>
      <c r="D149" s="19" t="n"/>
      <c r="E149" s="19" t="n"/>
      <c r="F149" s="19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</row>
    <row r="150" ht="15.75" customHeight="1" s="42">
      <c r="A150" s="4" t="n"/>
      <c r="B150" s="19" t="n"/>
      <c r="C150" s="19" t="n"/>
      <c r="D150" s="19" t="n"/>
      <c r="E150" s="19" t="n"/>
      <c r="F150" s="19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</row>
    <row r="151" ht="15.75" customHeight="1" s="42">
      <c r="A151" s="4" t="n"/>
      <c r="B151" s="19" t="n"/>
      <c r="C151" s="19" t="n"/>
      <c r="D151" s="19" t="n"/>
      <c r="E151" s="19" t="n"/>
      <c r="F151" s="19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</row>
    <row r="152" ht="15.75" customHeight="1" s="42">
      <c r="A152" s="4" t="n"/>
      <c r="B152" s="19" t="n"/>
      <c r="C152" s="19" t="n"/>
      <c r="D152" s="19" t="n"/>
      <c r="E152" s="19" t="n"/>
      <c r="F152" s="19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</row>
    <row r="153" ht="15.75" customHeight="1" s="42">
      <c r="A153" s="4" t="n"/>
      <c r="B153" s="19" t="n"/>
      <c r="C153" s="19" t="n"/>
      <c r="D153" s="19" t="n"/>
      <c r="E153" s="19" t="n"/>
      <c r="F153" s="19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</row>
    <row r="154" ht="15.75" customHeight="1" s="42">
      <c r="A154" s="4" t="n"/>
      <c r="B154" s="19" t="n"/>
      <c r="C154" s="19" t="n"/>
      <c r="D154" s="19" t="n"/>
      <c r="E154" s="19" t="n"/>
      <c r="F154" s="19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</row>
    <row r="155" ht="15.75" customHeight="1" s="42">
      <c r="A155" s="4" t="n"/>
      <c r="B155" s="19" t="n"/>
      <c r="C155" s="19" t="n"/>
      <c r="D155" s="19" t="n"/>
      <c r="E155" s="19" t="n"/>
      <c r="F155" s="19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</row>
    <row r="156" ht="15.75" customHeight="1" s="42">
      <c r="A156" s="4" t="n"/>
      <c r="B156" s="19" t="n"/>
      <c r="C156" s="19" t="n"/>
      <c r="D156" s="19" t="n"/>
      <c r="E156" s="19" t="n"/>
      <c r="F156" s="19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</row>
    <row r="157" ht="15.75" customHeight="1" s="42">
      <c r="A157" s="4" t="n"/>
      <c r="B157" s="19" t="n"/>
      <c r="C157" s="19" t="n"/>
      <c r="D157" s="19" t="n"/>
      <c r="E157" s="19" t="n"/>
      <c r="F157" s="19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</row>
    <row r="158" ht="15.75" customHeight="1" s="42">
      <c r="A158" s="4" t="n"/>
      <c r="B158" s="19" t="n"/>
      <c r="C158" s="19" t="n"/>
      <c r="D158" s="19" t="n"/>
      <c r="E158" s="19" t="n"/>
      <c r="F158" s="19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</row>
    <row r="159" ht="15.75" customHeight="1" s="42">
      <c r="A159" s="4" t="n"/>
      <c r="B159" s="19" t="n"/>
      <c r="C159" s="19" t="n"/>
      <c r="D159" s="19" t="n"/>
      <c r="E159" s="19" t="n"/>
      <c r="F159" s="19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</row>
    <row r="160" ht="15.75" customHeight="1" s="42">
      <c r="A160" s="4" t="n"/>
      <c r="B160" s="19" t="n"/>
      <c r="C160" s="19" t="n"/>
      <c r="D160" s="19" t="n"/>
      <c r="E160" s="19" t="n"/>
      <c r="F160" s="19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</row>
    <row r="161" ht="15.75" customHeight="1" s="42">
      <c r="A161" s="4" t="n"/>
      <c r="B161" s="19" t="n"/>
      <c r="C161" s="19" t="n"/>
      <c r="D161" s="19" t="n"/>
      <c r="E161" s="19" t="n"/>
      <c r="F161" s="19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</row>
    <row r="162" ht="15.75" customHeight="1" s="42">
      <c r="A162" s="4" t="n"/>
      <c r="B162" s="19" t="n"/>
      <c r="C162" s="19" t="n"/>
      <c r="D162" s="19" t="n"/>
      <c r="E162" s="19" t="n"/>
      <c r="F162" s="19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</row>
    <row r="163" ht="15.75" customHeight="1" s="42">
      <c r="A163" s="4" t="n"/>
      <c r="B163" s="19" t="n"/>
      <c r="C163" s="19" t="n"/>
      <c r="D163" s="19" t="n"/>
      <c r="E163" s="19" t="n"/>
      <c r="F163" s="19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</row>
    <row r="164" ht="15.75" customHeight="1" s="42">
      <c r="A164" s="4" t="n"/>
      <c r="B164" s="19" t="n"/>
      <c r="C164" s="19" t="n"/>
      <c r="D164" s="19" t="n"/>
      <c r="E164" s="19" t="n"/>
      <c r="F164" s="19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</row>
    <row r="165" ht="15.75" customHeight="1" s="42">
      <c r="A165" s="4" t="n"/>
      <c r="B165" s="19" t="n"/>
      <c r="C165" s="19" t="n"/>
      <c r="D165" s="19" t="n"/>
      <c r="E165" s="19" t="n"/>
      <c r="F165" s="19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</row>
    <row r="166" ht="15.75" customHeight="1" s="42">
      <c r="A166" s="4" t="n"/>
      <c r="B166" s="19" t="n"/>
      <c r="C166" s="19" t="n"/>
      <c r="D166" s="19" t="n"/>
      <c r="E166" s="19" t="n"/>
      <c r="F166" s="19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</row>
    <row r="167" ht="15.75" customHeight="1" s="42">
      <c r="A167" s="4" t="n"/>
      <c r="B167" s="19" t="n"/>
      <c r="C167" s="19" t="n"/>
      <c r="D167" s="19" t="n"/>
      <c r="E167" s="19" t="n"/>
      <c r="F167" s="19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</row>
    <row r="168" ht="15.75" customHeight="1" s="42">
      <c r="A168" s="4" t="n"/>
      <c r="B168" s="19" t="n"/>
      <c r="C168" s="19" t="n"/>
      <c r="D168" s="19" t="n"/>
      <c r="E168" s="19" t="n"/>
      <c r="F168" s="19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</row>
    <row r="169" ht="15.75" customHeight="1" s="42">
      <c r="A169" s="4" t="n"/>
      <c r="B169" s="19" t="n"/>
      <c r="C169" s="19" t="n"/>
      <c r="D169" s="19" t="n"/>
      <c r="E169" s="19" t="n"/>
      <c r="F169" s="19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</row>
    <row r="170" ht="15.75" customHeight="1" s="42">
      <c r="A170" s="4" t="n"/>
      <c r="B170" s="19" t="n"/>
      <c r="C170" s="19" t="n"/>
      <c r="D170" s="19" t="n"/>
      <c r="E170" s="19" t="n"/>
      <c r="F170" s="19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</row>
    <row r="171" ht="15.75" customHeight="1" s="42">
      <c r="A171" s="4" t="n"/>
      <c r="B171" s="19" t="n"/>
      <c r="C171" s="19" t="n"/>
      <c r="D171" s="19" t="n"/>
      <c r="E171" s="19" t="n"/>
      <c r="F171" s="19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</row>
    <row r="172" ht="15.75" customHeight="1" s="42">
      <c r="A172" s="4" t="n"/>
      <c r="B172" s="19" t="n"/>
      <c r="C172" s="19" t="n"/>
      <c r="D172" s="19" t="n"/>
      <c r="E172" s="19" t="n"/>
      <c r="F172" s="19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</row>
    <row r="173" ht="15.75" customHeight="1" s="42">
      <c r="A173" s="4" t="n"/>
      <c r="B173" s="19" t="n"/>
      <c r="C173" s="19" t="n"/>
      <c r="D173" s="19" t="n"/>
      <c r="E173" s="19" t="n"/>
      <c r="F173" s="19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</row>
    <row r="174" ht="15.75" customHeight="1" s="42">
      <c r="A174" s="4" t="n"/>
      <c r="B174" s="19" t="n"/>
      <c r="C174" s="19" t="n"/>
      <c r="D174" s="19" t="n"/>
      <c r="E174" s="19" t="n"/>
      <c r="F174" s="19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</row>
    <row r="175" ht="15.75" customHeight="1" s="42">
      <c r="A175" s="4" t="n"/>
      <c r="B175" s="19" t="n"/>
      <c r="C175" s="19" t="n"/>
      <c r="D175" s="19" t="n"/>
      <c r="E175" s="19" t="n"/>
      <c r="F175" s="19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</row>
    <row r="176" ht="15.75" customHeight="1" s="42">
      <c r="A176" s="4" t="n"/>
      <c r="B176" s="19" t="n"/>
      <c r="C176" s="19" t="n"/>
      <c r="D176" s="19" t="n"/>
      <c r="E176" s="19" t="n"/>
      <c r="F176" s="19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</row>
    <row r="177" ht="15.75" customHeight="1" s="42">
      <c r="A177" s="4" t="n"/>
      <c r="B177" s="19" t="n"/>
      <c r="C177" s="19" t="n"/>
      <c r="D177" s="19" t="n"/>
      <c r="E177" s="19" t="n"/>
      <c r="F177" s="19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</row>
    <row r="178" ht="15.75" customHeight="1" s="42">
      <c r="A178" s="4" t="n"/>
      <c r="B178" s="19" t="n"/>
      <c r="C178" s="19" t="n"/>
      <c r="D178" s="19" t="n"/>
      <c r="E178" s="19" t="n"/>
      <c r="F178" s="19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</row>
    <row r="179" ht="15.75" customHeight="1" s="42">
      <c r="A179" s="4" t="n"/>
      <c r="B179" s="19" t="n"/>
      <c r="C179" s="19" t="n"/>
      <c r="D179" s="19" t="n"/>
      <c r="E179" s="19" t="n"/>
      <c r="F179" s="19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</row>
    <row r="180" ht="15.75" customHeight="1" s="42">
      <c r="A180" s="4" t="n"/>
      <c r="B180" s="19" t="n"/>
      <c r="C180" s="19" t="n"/>
      <c r="D180" s="19" t="n"/>
      <c r="E180" s="19" t="n"/>
      <c r="F180" s="19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</row>
    <row r="181" ht="15.75" customHeight="1" s="42">
      <c r="A181" s="4" t="n"/>
      <c r="B181" s="19" t="n"/>
      <c r="C181" s="19" t="n"/>
      <c r="D181" s="19" t="n"/>
      <c r="E181" s="19" t="n"/>
      <c r="F181" s="19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</row>
    <row r="182" ht="15.75" customHeight="1" s="42">
      <c r="A182" s="4" t="n"/>
      <c r="B182" s="19" t="n"/>
      <c r="C182" s="19" t="n"/>
      <c r="D182" s="19" t="n"/>
      <c r="E182" s="19" t="n"/>
      <c r="F182" s="19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</row>
    <row r="183" ht="15.75" customHeight="1" s="42">
      <c r="A183" s="4" t="n"/>
      <c r="B183" s="19" t="n"/>
      <c r="C183" s="19" t="n"/>
      <c r="D183" s="19" t="n"/>
      <c r="E183" s="19" t="n"/>
      <c r="F183" s="19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</row>
    <row r="184" ht="15.75" customHeight="1" s="42">
      <c r="A184" s="4" t="n"/>
      <c r="B184" s="19" t="n"/>
      <c r="C184" s="19" t="n"/>
      <c r="D184" s="19" t="n"/>
      <c r="E184" s="19" t="n"/>
      <c r="F184" s="19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</row>
    <row r="185" ht="15.75" customHeight="1" s="42">
      <c r="A185" s="4" t="n"/>
      <c r="B185" s="19" t="n"/>
      <c r="C185" s="19" t="n"/>
      <c r="D185" s="19" t="n"/>
      <c r="E185" s="19" t="n"/>
      <c r="F185" s="19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</row>
    <row r="186" ht="15.75" customHeight="1" s="42">
      <c r="A186" s="4" t="n"/>
      <c r="B186" s="19" t="n"/>
      <c r="C186" s="19" t="n"/>
      <c r="D186" s="19" t="n"/>
      <c r="E186" s="19" t="n"/>
      <c r="F186" s="19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</row>
    <row r="187" ht="15.75" customHeight="1" s="42">
      <c r="A187" s="4" t="n"/>
      <c r="B187" s="19" t="n"/>
      <c r="C187" s="19" t="n"/>
      <c r="D187" s="19" t="n"/>
      <c r="E187" s="19" t="n"/>
      <c r="F187" s="19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</row>
    <row r="188" ht="15.75" customHeight="1" s="42">
      <c r="A188" s="4" t="n"/>
      <c r="B188" s="19" t="n"/>
      <c r="C188" s="19" t="n"/>
      <c r="D188" s="19" t="n"/>
      <c r="E188" s="19" t="n"/>
      <c r="F188" s="19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</row>
    <row r="189" ht="15.75" customHeight="1" s="42">
      <c r="A189" s="4" t="n"/>
      <c r="B189" s="19" t="n"/>
      <c r="C189" s="19" t="n"/>
      <c r="D189" s="19" t="n"/>
      <c r="E189" s="19" t="n"/>
      <c r="F189" s="19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</row>
    <row r="190" ht="15.75" customHeight="1" s="42">
      <c r="A190" s="4" t="n"/>
      <c r="B190" s="19" t="n"/>
      <c r="C190" s="19" t="n"/>
      <c r="D190" s="19" t="n"/>
      <c r="E190" s="19" t="n"/>
      <c r="F190" s="19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</row>
    <row r="191" ht="15.75" customHeight="1" s="42">
      <c r="A191" s="4" t="n"/>
      <c r="B191" s="19" t="n"/>
      <c r="C191" s="19" t="n"/>
      <c r="D191" s="19" t="n"/>
      <c r="E191" s="19" t="n"/>
      <c r="F191" s="19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</row>
    <row r="192" ht="15.75" customHeight="1" s="42">
      <c r="A192" s="4" t="n"/>
      <c r="B192" s="19" t="n"/>
      <c r="C192" s="19" t="n"/>
      <c r="D192" s="19" t="n"/>
      <c r="E192" s="19" t="n"/>
      <c r="F192" s="19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</row>
    <row r="193" ht="15.75" customHeight="1" s="42">
      <c r="A193" s="4" t="n"/>
      <c r="B193" s="19" t="n"/>
      <c r="C193" s="19" t="n"/>
      <c r="D193" s="19" t="n"/>
      <c r="E193" s="19" t="n"/>
      <c r="F193" s="19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</row>
    <row r="194" ht="15.75" customHeight="1" s="42">
      <c r="A194" s="4" t="n"/>
      <c r="B194" s="19" t="n"/>
      <c r="C194" s="19" t="n"/>
      <c r="D194" s="19" t="n"/>
      <c r="E194" s="19" t="n"/>
      <c r="F194" s="19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</row>
    <row r="195" ht="15.75" customHeight="1" s="42">
      <c r="A195" s="4" t="n"/>
      <c r="B195" s="19" t="n"/>
      <c r="C195" s="19" t="n"/>
      <c r="D195" s="19" t="n"/>
      <c r="E195" s="19" t="n"/>
      <c r="F195" s="19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</row>
    <row r="196" ht="15.75" customHeight="1" s="42">
      <c r="A196" s="4" t="n"/>
      <c r="B196" s="19" t="n"/>
      <c r="C196" s="19" t="n"/>
      <c r="D196" s="19" t="n"/>
      <c r="E196" s="19" t="n"/>
      <c r="F196" s="19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</row>
    <row r="197" ht="15.75" customHeight="1" s="42">
      <c r="A197" s="4" t="n"/>
      <c r="B197" s="19" t="n"/>
      <c r="C197" s="19" t="n"/>
      <c r="D197" s="19" t="n"/>
      <c r="E197" s="19" t="n"/>
      <c r="F197" s="19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</row>
    <row r="198" ht="15.75" customHeight="1" s="42">
      <c r="A198" s="4" t="n"/>
      <c r="B198" s="19" t="n"/>
      <c r="C198" s="19" t="n"/>
      <c r="D198" s="19" t="n"/>
      <c r="E198" s="19" t="n"/>
      <c r="F198" s="19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</row>
    <row r="199" ht="15.75" customHeight="1" s="42">
      <c r="A199" s="4" t="n"/>
      <c r="B199" s="19" t="n"/>
      <c r="C199" s="19" t="n"/>
      <c r="D199" s="19" t="n"/>
      <c r="E199" s="19" t="n"/>
      <c r="F199" s="19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</row>
    <row r="200" ht="15.75" customHeight="1" s="42">
      <c r="A200" s="4" t="n"/>
      <c r="B200" s="19" t="n"/>
      <c r="C200" s="19" t="n"/>
      <c r="D200" s="19" t="n"/>
      <c r="E200" s="19" t="n"/>
      <c r="F200" s="19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</row>
    <row r="201" ht="15.75" customHeight="1" s="42">
      <c r="A201" s="4" t="n"/>
      <c r="B201" s="19" t="n"/>
      <c r="C201" s="19" t="n"/>
      <c r="D201" s="19" t="n"/>
      <c r="E201" s="19" t="n"/>
      <c r="F201" s="19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</row>
    <row r="202" ht="15.75" customHeight="1" s="42">
      <c r="A202" s="4" t="n"/>
      <c r="B202" s="19" t="n"/>
      <c r="C202" s="19" t="n"/>
      <c r="D202" s="19" t="n"/>
      <c r="E202" s="19" t="n"/>
      <c r="F202" s="19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</row>
    <row r="203" ht="15.75" customHeight="1" s="42">
      <c r="A203" s="4" t="n"/>
      <c r="B203" s="19" t="n"/>
      <c r="C203" s="19" t="n"/>
      <c r="D203" s="19" t="n"/>
      <c r="E203" s="19" t="n"/>
      <c r="F203" s="19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</row>
    <row r="204" ht="15.75" customHeight="1" s="42">
      <c r="A204" s="4" t="n"/>
      <c r="B204" s="19" t="n"/>
      <c r="C204" s="19" t="n"/>
      <c r="D204" s="19" t="n"/>
      <c r="E204" s="19" t="n"/>
      <c r="F204" s="19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</row>
    <row r="205" ht="15.75" customHeight="1" s="42">
      <c r="A205" s="4" t="n"/>
      <c r="B205" s="19" t="n"/>
      <c r="C205" s="19" t="n"/>
      <c r="D205" s="19" t="n"/>
      <c r="E205" s="19" t="n"/>
      <c r="F205" s="19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</row>
    <row r="206" ht="15.75" customHeight="1" s="42">
      <c r="A206" s="4" t="n"/>
      <c r="B206" s="19" t="n"/>
      <c r="C206" s="19" t="n"/>
      <c r="D206" s="19" t="n"/>
      <c r="E206" s="19" t="n"/>
      <c r="F206" s="19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</row>
    <row r="207" ht="15.75" customHeight="1" s="42">
      <c r="A207" s="4" t="n"/>
      <c r="B207" s="19" t="n"/>
      <c r="C207" s="19" t="n"/>
      <c r="D207" s="19" t="n"/>
      <c r="E207" s="19" t="n"/>
      <c r="F207" s="19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</row>
    <row r="208" ht="15.75" customHeight="1" s="42">
      <c r="A208" s="4" t="n"/>
      <c r="B208" s="19" t="n"/>
      <c r="C208" s="19" t="n"/>
      <c r="D208" s="19" t="n"/>
      <c r="E208" s="19" t="n"/>
      <c r="F208" s="19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</row>
    <row r="209" ht="15.75" customHeight="1" s="42">
      <c r="A209" s="4" t="n"/>
      <c r="B209" s="19" t="n"/>
      <c r="C209" s="19" t="n"/>
      <c r="D209" s="19" t="n"/>
      <c r="E209" s="19" t="n"/>
      <c r="F209" s="19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</row>
    <row r="210" ht="15.75" customHeight="1" s="42">
      <c r="A210" s="4" t="n"/>
      <c r="B210" s="19" t="n"/>
      <c r="C210" s="19" t="n"/>
      <c r="D210" s="19" t="n"/>
      <c r="E210" s="19" t="n"/>
      <c r="F210" s="19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</row>
    <row r="211" ht="15.75" customHeight="1" s="42">
      <c r="A211" s="4" t="n"/>
      <c r="B211" s="19" t="n"/>
      <c r="C211" s="19" t="n"/>
      <c r="D211" s="19" t="n"/>
      <c r="E211" s="19" t="n"/>
      <c r="F211" s="19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</row>
    <row r="212" ht="15.75" customHeight="1" s="42">
      <c r="A212" s="4" t="n"/>
      <c r="B212" s="19" t="n"/>
      <c r="C212" s="19" t="n"/>
      <c r="D212" s="19" t="n"/>
      <c r="E212" s="19" t="n"/>
      <c r="F212" s="19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</row>
    <row r="213" ht="15.75" customHeight="1" s="42">
      <c r="A213" s="4" t="n"/>
      <c r="B213" s="19" t="n"/>
      <c r="C213" s="19" t="n"/>
      <c r="D213" s="19" t="n"/>
      <c r="E213" s="19" t="n"/>
      <c r="F213" s="19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</row>
    <row r="214" ht="15.75" customHeight="1" s="42">
      <c r="A214" s="4" t="n"/>
      <c r="B214" s="19" t="n"/>
      <c r="C214" s="19" t="n"/>
      <c r="D214" s="19" t="n"/>
      <c r="E214" s="19" t="n"/>
      <c r="F214" s="19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</row>
    <row r="215" ht="15.75" customHeight="1" s="42">
      <c r="A215" s="4" t="n"/>
      <c r="B215" s="19" t="n"/>
      <c r="C215" s="19" t="n"/>
      <c r="D215" s="19" t="n"/>
      <c r="E215" s="19" t="n"/>
      <c r="F215" s="19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</row>
    <row r="216" ht="15.75" customHeight="1" s="42">
      <c r="A216" s="4" t="n"/>
      <c r="B216" s="19" t="n"/>
      <c r="C216" s="19" t="n"/>
      <c r="D216" s="19" t="n"/>
      <c r="E216" s="19" t="n"/>
      <c r="F216" s="19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</row>
    <row r="217" ht="15.75" customHeight="1" s="42">
      <c r="A217" s="4" t="n"/>
      <c r="B217" s="19" t="n"/>
      <c r="C217" s="19" t="n"/>
      <c r="D217" s="19" t="n"/>
      <c r="E217" s="19" t="n"/>
      <c r="F217" s="19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</row>
    <row r="218" ht="15.75" customHeight="1" s="42">
      <c r="A218" s="4" t="n"/>
      <c r="B218" s="19" t="n"/>
      <c r="C218" s="19" t="n"/>
      <c r="D218" s="19" t="n"/>
      <c r="E218" s="19" t="n"/>
      <c r="F218" s="19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</row>
    <row r="219" ht="15.75" customHeight="1" s="42">
      <c r="A219" s="4" t="n"/>
      <c r="B219" s="19" t="n"/>
      <c r="C219" s="19" t="n"/>
      <c r="D219" s="19" t="n"/>
      <c r="E219" s="19" t="n"/>
      <c r="F219" s="19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</row>
    <row r="220" ht="15.75" customHeight="1" s="42">
      <c r="A220" s="4" t="n"/>
      <c r="B220" s="19" t="n"/>
      <c r="C220" s="19" t="n"/>
      <c r="D220" s="19" t="n"/>
      <c r="E220" s="19" t="n"/>
      <c r="F220" s="19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</row>
    <row r="221" ht="15.75" customHeight="1" s="4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</row>
    <row r="222" ht="15.75" customHeight="1" s="4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</row>
    <row r="223" ht="15.75" customHeight="1" s="4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</row>
    <row r="224" ht="15.75" customHeight="1" s="4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</row>
    <row r="225" ht="15.75" customHeight="1" s="4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3"/>
    <col width="46" customWidth="1" style="42" min="4" max="4"/>
    <col width="16" customWidth="1" style="42" min="5" max="7"/>
    <col width="8.710000000000001" customWidth="1" style="42" min="8" max="26"/>
  </cols>
  <sheetData>
    <row r="1" ht="17.25" customHeight="1" s="42">
      <c r="A1" s="1" t="inlineStr">
        <is>
          <t>Comparables boursiers</t>
        </is>
      </c>
      <c r="B1" s="2" t="n"/>
      <c r="C1" s="2" t="n"/>
      <c r="D1" s="2" t="n"/>
      <c r="E1" s="2" t="n"/>
      <c r="F1" s="2" t="n"/>
      <c r="G1" s="2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9.75" customHeight="1" s="42">
      <c r="A2" s="5" t="inlineStr">
        <is>
          <t>Multiples de marche ponctuels au 20 avril 2026 ou derniere cloture disponible</t>
        </is>
      </c>
      <c r="B2" s="2" t="n"/>
      <c r="C2" s="2" t="n"/>
      <c r="D2" s="2" t="n"/>
      <c r="E2" s="2" t="n"/>
      <c r="F2" s="2" t="n"/>
      <c r="G2" s="2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7.25" customHeight="1" s="42">
      <c r="A3" s="6" t="n"/>
      <c r="B3" s="7" t="n"/>
      <c r="C3" s="7" t="n"/>
      <c r="D3" s="7" t="n"/>
      <c r="E3" s="7" t="n"/>
      <c r="F3" s="7" t="n"/>
      <c r="G3" s="7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7.25" customHeight="1" s="42">
      <c r="A4" s="3" t="inlineStr">
        <is>
          <t>Societe</t>
        </is>
      </c>
      <c r="B4" s="2" t="inlineStr">
        <is>
          <t>Ticker</t>
        </is>
      </c>
      <c r="C4" s="2" t="inlineStr">
        <is>
          <t>Pays</t>
        </is>
      </c>
      <c r="D4" s="2" t="inlineStr">
        <is>
          <t>Justification</t>
        </is>
      </c>
      <c r="E4" s="2" t="inlineStr">
        <is>
          <t>EV/CA</t>
        </is>
      </c>
      <c r="F4" s="2" t="inlineStr">
        <is>
          <t>EV/EBITDA</t>
        </is>
      </c>
      <c r="G4" s="2" t="inlineStr">
        <is>
          <t>EV/EBIT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7.25" customHeight="1" s="42">
      <c r="A5" s="3" t="inlineStr">
        <is>
          <t>Bridgestone</t>
        </is>
      </c>
      <c r="B5" s="2" t="inlineStr">
        <is>
          <t>TYO:5108</t>
        </is>
      </c>
      <c r="C5" s="2" t="inlineStr">
        <is>
          <t>Japon</t>
        </is>
      </c>
      <c r="D5" s="2" t="inlineStr">
        <is>
          <t>Leader mondial pneus, exposition replacement/OE comparable</t>
        </is>
      </c>
      <c r="E5" s="8" t="n">
        <v>1.01</v>
      </c>
      <c r="F5" s="8" t="n">
        <v>5.38</v>
      </c>
      <c r="G5" s="8" t="n">
        <v>9.34</v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7.25" customHeight="1" s="42">
      <c r="A6" s="3" t="inlineStr">
        <is>
          <t>Goodyear</t>
        </is>
      </c>
      <c r="B6" s="2" t="inlineStr">
        <is>
          <t>NASDAQ:GT</t>
        </is>
      </c>
      <c r="C6" s="2" t="inlineStr">
        <is>
          <t>Etats-Unis</t>
        </is>
      </c>
      <c r="D6" s="2" t="inlineStr">
        <is>
          <t>Pneumatiques purs, mais levier et marge faible</t>
        </is>
      </c>
      <c r="E6" s="8" t="n">
        <v>0.46</v>
      </c>
      <c r="F6" s="8" t="n">
        <v>6.8</v>
      </c>
      <c r="G6" s="8" t="n">
        <v>23.48</v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7.25" customHeight="1" s="42">
      <c r="A7" s="3" t="inlineStr">
        <is>
          <t>Continental</t>
        </is>
      </c>
      <c r="B7" s="2" t="inlineStr">
        <is>
          <t>ETR:CON</t>
        </is>
      </c>
      <c r="C7" s="2" t="inlineStr">
        <is>
          <t>Allemagne</t>
        </is>
      </c>
      <c r="D7" s="2" t="inlineStr">
        <is>
          <t>Equipementier auto diversifie avec activite pneus</t>
        </is>
      </c>
      <c r="E7" s="8" t="n">
        <v>0.97</v>
      </c>
      <c r="F7" s="8" t="n">
        <v>6.89</v>
      </c>
      <c r="G7" s="8" t="n">
        <v>12.18</v>
      </c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7.25" customHeight="1" s="42">
      <c r="A8" s="3" t="inlineStr">
        <is>
          <t>Pirelli</t>
        </is>
      </c>
      <c r="B8" s="2" t="inlineStr">
        <is>
          <t>BIT:PIRC</t>
        </is>
      </c>
      <c r="C8" s="2" t="inlineStr">
        <is>
          <t>Italie</t>
        </is>
      </c>
      <c r="D8" s="2" t="inlineStr">
        <is>
          <t>Pneus premium, forte proximite avec Michelin en mix</t>
        </is>
      </c>
      <c r="E8" s="8" t="n">
        <v>1.18</v>
      </c>
      <c r="F8" s="8" t="n">
        <v>4.96</v>
      </c>
      <c r="G8" s="8" t="n">
        <v>7.78</v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7.25" customHeight="1" s="42">
      <c r="A9" s="3" t="inlineStr">
        <is>
          <t>Yokohama Rubber</t>
        </is>
      </c>
      <c r="B9" s="2" t="inlineStr">
        <is>
          <t>TYO:5101</t>
        </is>
      </c>
      <c r="C9" s="2" t="inlineStr">
        <is>
          <t>Japon</t>
        </is>
      </c>
      <c r="D9" s="2" t="inlineStr">
        <is>
          <t>Pneus et caoutchouc industriel, exposition Asie</t>
        </is>
      </c>
      <c r="E9" s="8" t="n">
        <v>1.22</v>
      </c>
      <c r="F9" s="8" t="n">
        <v>6.53</v>
      </c>
      <c r="G9" s="8" t="n">
        <v>9.6</v>
      </c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7.25" customHeight="1" s="42">
      <c r="A10" s="3" t="inlineStr">
        <is>
          <t>Hankook Tire</t>
        </is>
      </c>
      <c r="B10" s="2" t="inlineStr">
        <is>
          <t>KRX:161390</t>
        </is>
      </c>
      <c r="C10" s="2" t="inlineStr">
        <is>
          <t>Coree du Sud</t>
        </is>
      </c>
      <c r="D10" s="2" t="inlineStr">
        <is>
          <t>Pneus mondiaux, positionnement valeur/premium</t>
        </is>
      </c>
      <c r="E10" s="8" t="n">
        <v>0.61</v>
      </c>
      <c r="F10" s="8" t="n">
        <v>4.03</v>
      </c>
      <c r="G10" s="8" t="n">
        <v>7.07</v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7.25" customHeight="1" s="42">
      <c r="A11" s="6" t="n"/>
      <c r="B11" s="7" t="n"/>
      <c r="C11" s="7" t="n"/>
      <c r="D11" s="7" t="n"/>
      <c r="E11" s="7" t="n"/>
      <c r="F11" s="7" t="n"/>
      <c r="G11" s="7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7.25" customHeight="1" s="42">
      <c r="A12" s="3" t="inlineStr">
        <is>
          <t>Application 2026E</t>
        </is>
      </c>
      <c r="B12" s="2" t="inlineStr">
        <is>
          <t>Multiple bas</t>
        </is>
      </c>
      <c r="C12" s="2" t="inlineStr">
        <is>
          <t>Multiple median</t>
        </is>
      </c>
      <c r="D12" s="2" t="inlineStr">
        <is>
          <t>Multiple haut</t>
        </is>
      </c>
      <c r="E12" s="2" t="inlineStr">
        <is>
          <t>Prix bas</t>
        </is>
      </c>
      <c r="F12" s="2" t="inlineStr">
        <is>
          <t>Prix median</t>
        </is>
      </c>
      <c r="G12" s="2" t="inlineStr">
        <is>
          <t>Prix haut</t>
        </is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7.25" customHeight="1" s="42">
      <c r="A13" s="3" t="inlineStr">
        <is>
          <t>EV / CA</t>
        </is>
      </c>
      <c r="B13" s="8">
        <f>QUARTILE(E5:E10, 1)</f>
        <v/>
      </c>
      <c r="C13" s="8">
        <f>MEDIAN(E5:E10)</f>
        <v/>
      </c>
      <c r="D13" s="8">
        <f>QUARTILE(E5:E10, 3)</f>
        <v/>
      </c>
      <c r="E13" s="17">
        <f>(B13*Forecast!$B$4-WACC!$B$8)/WACC!$B$6</f>
        <v/>
      </c>
      <c r="F13" s="17">
        <f>(C13*Forecast!$B$4-WACC!$B$8)/WACC!$B$6</f>
        <v/>
      </c>
      <c r="G13" s="17">
        <f>(D13*Forecast!$B$4-WACC!$B$8)/WACC!$B$6</f>
        <v/>
      </c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7.25" customHeight="1" s="42">
      <c r="A14" s="3" t="inlineStr">
        <is>
          <t>EV / EBITDA</t>
        </is>
      </c>
      <c r="B14" s="8">
        <f>QUARTILE(F5:F10, 1)</f>
        <v/>
      </c>
      <c r="C14" s="8">
        <f>MEDIAN(F5:F10)</f>
        <v/>
      </c>
      <c r="D14" s="8">
        <f>QUARTILE(F5:F10, 3)</f>
        <v/>
      </c>
      <c r="E14" s="17">
        <f>(B14*Forecast!$B$7-WACC!$B$8)/WACC!$B$6</f>
        <v/>
      </c>
      <c r="F14" s="17">
        <f>(C14*Forecast!$B$7-WACC!$B$8)/WACC!$B$6</f>
        <v/>
      </c>
      <c r="G14" s="17">
        <f>(D14*Forecast!$B$7-WACC!$B$8)/WACC!$B$6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7.25" customHeight="1" s="42">
      <c r="A15" s="3" t="inlineStr">
        <is>
          <t>EV / EBIT</t>
        </is>
      </c>
      <c r="B15" s="8">
        <f>QUARTILE(G5:G10, 1)</f>
        <v/>
      </c>
      <c r="C15" s="8">
        <f>MEDIAN(G5:G10)</f>
        <v/>
      </c>
      <c r="D15" s="8">
        <f>QUARTILE(G5:G10, 3)</f>
        <v/>
      </c>
      <c r="E15" s="8">
        <f>(B15*Forecast!$B$9-WACC!$B$8)/WACC!$B$6</f>
        <v/>
      </c>
      <c r="F15" s="8">
        <f>(C15*Forecast!$B$9-WACC!$B$8)/WACC!$B$6</f>
        <v/>
      </c>
      <c r="G15" s="8">
        <f>(D15*Forecast!$B$9-WACC!$B$8)/WACC!$B$6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.75" customHeight="1" s="42">
      <c r="A16" s="4" t="n"/>
      <c r="B16" s="20" t="n"/>
      <c r="C16" s="20" t="n"/>
      <c r="D16" s="20" t="n"/>
      <c r="E16" s="20" t="n"/>
      <c r="F16" s="20" t="n"/>
      <c r="G16" s="2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5.75" customHeight="1" s="42">
      <c r="A17" s="4" t="n"/>
      <c r="B17" s="20" t="n"/>
      <c r="C17" s="20" t="n"/>
      <c r="D17" s="20" t="n"/>
      <c r="E17" s="20" t="n"/>
      <c r="F17" s="20" t="n"/>
      <c r="G17" s="2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5.75" customHeight="1" s="42">
      <c r="A18" s="4" t="n"/>
      <c r="B18" s="20" t="n"/>
      <c r="C18" s="20" t="n"/>
      <c r="D18" s="20" t="n"/>
      <c r="E18" s="20" t="n"/>
      <c r="F18" s="20" t="n"/>
      <c r="G18" s="2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5.75" customHeight="1" s="42">
      <c r="A19" s="4" t="n"/>
      <c r="B19" s="20" t="n"/>
      <c r="C19" s="20" t="n"/>
      <c r="D19" s="20" t="n"/>
      <c r="E19" s="20" t="n"/>
      <c r="F19" s="20" t="n"/>
      <c r="G19" s="2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5.75" customHeight="1" s="42">
      <c r="A20" s="4" t="n"/>
      <c r="B20" s="20" t="n"/>
      <c r="C20" s="20" t="n"/>
      <c r="D20" s="20" t="n"/>
      <c r="E20" s="20" t="n"/>
      <c r="F20" s="20" t="n"/>
      <c r="G20" s="2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5.75" customHeight="1" s="42">
      <c r="A21" s="4" t="n"/>
      <c r="B21" s="20" t="n"/>
      <c r="C21" s="20" t="n"/>
      <c r="D21" s="20" t="n"/>
      <c r="E21" s="20" t="n"/>
      <c r="F21" s="20" t="n"/>
      <c r="G21" s="2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5.75" customHeight="1" s="42">
      <c r="A22" s="4" t="n"/>
      <c r="B22" s="20" t="n"/>
      <c r="C22" s="20" t="n"/>
      <c r="D22" s="20" t="n"/>
      <c r="E22" s="20" t="n"/>
      <c r="F22" s="20" t="n"/>
      <c r="G22" s="2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5.75" customHeight="1" s="42">
      <c r="A23" s="4" t="n"/>
      <c r="B23" s="20" t="n"/>
      <c r="C23" s="20" t="n"/>
      <c r="D23" s="20" t="n"/>
      <c r="E23" s="20" t="n"/>
      <c r="F23" s="20" t="n"/>
      <c r="G23" s="2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5.75" customHeight="1" s="42">
      <c r="A24" s="4" t="n"/>
      <c r="B24" s="20" t="n"/>
      <c r="C24" s="20" t="n"/>
      <c r="D24" s="20" t="n"/>
      <c r="E24" s="20" t="n"/>
      <c r="F24" s="20" t="n"/>
      <c r="G24" s="2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5.75" customHeight="1" s="42">
      <c r="A25" s="4" t="n"/>
      <c r="B25" s="20" t="n"/>
      <c r="C25" s="20" t="n"/>
      <c r="D25" s="20" t="n"/>
      <c r="E25" s="20" t="n"/>
      <c r="F25" s="20" t="n"/>
      <c r="G25" s="2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5.75" customHeight="1" s="42">
      <c r="A26" s="4" t="n"/>
      <c r="B26" s="20" t="n"/>
      <c r="C26" s="20" t="n"/>
      <c r="D26" s="20" t="n"/>
      <c r="E26" s="20" t="n"/>
      <c r="F26" s="20" t="n"/>
      <c r="G26" s="2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5.75" customHeight="1" s="42">
      <c r="A27" s="4" t="n"/>
      <c r="B27" s="20" t="n"/>
      <c r="C27" s="20" t="n"/>
      <c r="D27" s="20" t="n"/>
      <c r="E27" s="20" t="n"/>
      <c r="F27" s="20" t="n"/>
      <c r="G27" s="2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5.75" customHeight="1" s="42">
      <c r="A28" s="4" t="n"/>
      <c r="B28" s="20" t="n"/>
      <c r="C28" s="20" t="n"/>
      <c r="D28" s="20" t="n"/>
      <c r="E28" s="20" t="n"/>
      <c r="F28" s="20" t="n"/>
      <c r="G28" s="2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5.75" customHeight="1" s="42">
      <c r="A29" s="4" t="n"/>
      <c r="B29" s="20" t="n"/>
      <c r="C29" s="20" t="n"/>
      <c r="D29" s="20" t="n"/>
      <c r="E29" s="20" t="n"/>
      <c r="F29" s="20" t="n"/>
      <c r="G29" s="2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5.75" customHeight="1" s="42">
      <c r="A30" s="4" t="n"/>
      <c r="B30" s="20" t="n"/>
      <c r="C30" s="20" t="n"/>
      <c r="D30" s="20" t="n"/>
      <c r="E30" s="20" t="n"/>
      <c r="F30" s="20" t="n"/>
      <c r="G30" s="2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5.75" customHeight="1" s="42">
      <c r="A31" s="4" t="n"/>
      <c r="B31" s="20" t="n"/>
      <c r="C31" s="20" t="n"/>
      <c r="D31" s="20" t="n"/>
      <c r="E31" s="20" t="n"/>
      <c r="F31" s="20" t="n"/>
      <c r="G31" s="2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5.75" customHeight="1" s="42">
      <c r="A32" s="4" t="n"/>
      <c r="B32" s="20" t="n"/>
      <c r="C32" s="20" t="n"/>
      <c r="D32" s="20" t="n"/>
      <c r="E32" s="20" t="n"/>
      <c r="F32" s="20" t="n"/>
      <c r="G32" s="2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5.75" customHeight="1" s="42">
      <c r="A33" s="4" t="n"/>
      <c r="B33" s="20" t="n"/>
      <c r="C33" s="20" t="n"/>
      <c r="D33" s="20" t="n"/>
      <c r="E33" s="20" t="n"/>
      <c r="F33" s="20" t="n"/>
      <c r="G33" s="2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5.75" customHeight="1" s="42">
      <c r="A34" s="4" t="n"/>
      <c r="B34" s="20" t="n"/>
      <c r="C34" s="20" t="n"/>
      <c r="D34" s="20" t="n"/>
      <c r="E34" s="20" t="n"/>
      <c r="F34" s="20" t="n"/>
      <c r="G34" s="2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5.75" customHeight="1" s="42">
      <c r="A35" s="4" t="n"/>
      <c r="B35" s="20" t="n"/>
      <c r="C35" s="20" t="n"/>
      <c r="D35" s="20" t="n"/>
      <c r="E35" s="20" t="n"/>
      <c r="F35" s="20" t="n"/>
      <c r="G35" s="2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5.75" customHeight="1" s="42">
      <c r="A36" s="4" t="n"/>
      <c r="B36" s="20" t="n"/>
      <c r="C36" s="20" t="n"/>
      <c r="D36" s="20" t="n"/>
      <c r="E36" s="20" t="n"/>
      <c r="F36" s="20" t="n"/>
      <c r="G36" s="2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5.75" customHeight="1" s="42">
      <c r="A37" s="4" t="n"/>
      <c r="B37" s="20" t="n"/>
      <c r="C37" s="20" t="n"/>
      <c r="D37" s="20" t="n"/>
      <c r="E37" s="20" t="n"/>
      <c r="F37" s="20" t="n"/>
      <c r="G37" s="2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5.75" customHeight="1" s="42">
      <c r="A38" s="4" t="n"/>
      <c r="B38" s="20" t="n"/>
      <c r="C38" s="20" t="n"/>
      <c r="D38" s="20" t="n"/>
      <c r="E38" s="20" t="n"/>
      <c r="F38" s="20" t="n"/>
      <c r="G38" s="2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5.75" customHeight="1" s="42">
      <c r="A39" s="4" t="n"/>
      <c r="B39" s="20" t="n"/>
      <c r="C39" s="20" t="n"/>
      <c r="D39" s="20" t="n"/>
      <c r="E39" s="20" t="n"/>
      <c r="F39" s="20" t="n"/>
      <c r="G39" s="2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5.75" customHeight="1" s="42">
      <c r="A40" s="4" t="n"/>
      <c r="B40" s="20" t="n"/>
      <c r="C40" s="20" t="n"/>
      <c r="D40" s="20" t="n"/>
      <c r="E40" s="20" t="n"/>
      <c r="F40" s="20" t="n"/>
      <c r="G40" s="2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5.75" customHeight="1" s="42">
      <c r="A41" s="4" t="n"/>
      <c r="B41" s="20" t="n"/>
      <c r="C41" s="20" t="n"/>
      <c r="D41" s="20" t="n"/>
      <c r="E41" s="20" t="n"/>
      <c r="F41" s="20" t="n"/>
      <c r="G41" s="2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5.75" customHeight="1" s="42">
      <c r="A42" s="4" t="n"/>
      <c r="B42" s="20" t="n"/>
      <c r="C42" s="20" t="n"/>
      <c r="D42" s="20" t="n"/>
      <c r="E42" s="20" t="n"/>
      <c r="F42" s="20" t="n"/>
      <c r="G42" s="2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5.75" customHeight="1" s="42">
      <c r="A43" s="4" t="n"/>
      <c r="B43" s="20" t="n"/>
      <c r="C43" s="20" t="n"/>
      <c r="D43" s="20" t="n"/>
      <c r="E43" s="20" t="n"/>
      <c r="F43" s="20" t="n"/>
      <c r="G43" s="2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5.75" customHeight="1" s="42">
      <c r="A44" s="4" t="n"/>
      <c r="B44" s="20" t="n"/>
      <c r="C44" s="20" t="n"/>
      <c r="D44" s="20" t="n"/>
      <c r="E44" s="20" t="n"/>
      <c r="F44" s="20" t="n"/>
      <c r="G44" s="2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5.75" customHeight="1" s="42">
      <c r="A45" s="4" t="n"/>
      <c r="B45" s="20" t="n"/>
      <c r="C45" s="20" t="n"/>
      <c r="D45" s="20" t="n"/>
      <c r="E45" s="20" t="n"/>
      <c r="F45" s="20" t="n"/>
      <c r="G45" s="2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5.75" customHeight="1" s="42">
      <c r="A46" s="4" t="n"/>
      <c r="B46" s="20" t="n"/>
      <c r="C46" s="20" t="n"/>
      <c r="D46" s="20" t="n"/>
      <c r="E46" s="20" t="n"/>
      <c r="F46" s="20" t="n"/>
      <c r="G46" s="2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5.75" customHeight="1" s="42">
      <c r="A47" s="4" t="n"/>
      <c r="B47" s="20" t="n"/>
      <c r="C47" s="20" t="n"/>
      <c r="D47" s="20" t="n"/>
      <c r="E47" s="20" t="n"/>
      <c r="F47" s="20" t="n"/>
      <c r="G47" s="2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5.75" customHeight="1" s="42">
      <c r="A48" s="4" t="n"/>
      <c r="B48" s="20" t="n"/>
      <c r="C48" s="20" t="n"/>
      <c r="D48" s="20" t="n"/>
      <c r="E48" s="20" t="n"/>
      <c r="F48" s="20" t="n"/>
      <c r="G48" s="2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5.75" customHeight="1" s="42">
      <c r="A49" s="4" t="n"/>
      <c r="B49" s="20" t="n"/>
      <c r="C49" s="20" t="n"/>
      <c r="D49" s="20" t="n"/>
      <c r="E49" s="20" t="n"/>
      <c r="F49" s="20" t="n"/>
      <c r="G49" s="2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5.75" customHeight="1" s="42">
      <c r="A50" s="4" t="n"/>
      <c r="B50" s="20" t="n"/>
      <c r="C50" s="20" t="n"/>
      <c r="D50" s="20" t="n"/>
      <c r="E50" s="20" t="n"/>
      <c r="F50" s="20" t="n"/>
      <c r="G50" s="2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5.75" customHeight="1" s="42">
      <c r="A51" s="4" t="n"/>
      <c r="B51" s="20" t="n"/>
      <c r="C51" s="20" t="n"/>
      <c r="D51" s="20" t="n"/>
      <c r="E51" s="20" t="n"/>
      <c r="F51" s="20" t="n"/>
      <c r="G51" s="2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5.75" customHeight="1" s="42">
      <c r="A52" s="4" t="n"/>
      <c r="B52" s="20" t="n"/>
      <c r="C52" s="20" t="n"/>
      <c r="D52" s="20" t="n"/>
      <c r="E52" s="20" t="n"/>
      <c r="F52" s="20" t="n"/>
      <c r="G52" s="2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5.75" customHeight="1" s="42">
      <c r="A53" s="4" t="n"/>
      <c r="B53" s="20" t="n"/>
      <c r="C53" s="20" t="n"/>
      <c r="D53" s="20" t="n"/>
      <c r="E53" s="20" t="n"/>
      <c r="F53" s="20" t="n"/>
      <c r="G53" s="2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5.75" customHeight="1" s="42">
      <c r="A54" s="4" t="n"/>
      <c r="B54" s="20" t="n"/>
      <c r="C54" s="20" t="n"/>
      <c r="D54" s="20" t="n"/>
      <c r="E54" s="20" t="n"/>
      <c r="F54" s="20" t="n"/>
      <c r="G54" s="2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5.75" customHeight="1" s="42">
      <c r="A55" s="4" t="n"/>
      <c r="B55" s="20" t="n"/>
      <c r="C55" s="20" t="n"/>
      <c r="D55" s="20" t="n"/>
      <c r="E55" s="20" t="n"/>
      <c r="F55" s="20" t="n"/>
      <c r="G55" s="2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5.75" customHeight="1" s="42">
      <c r="A56" s="4" t="n"/>
      <c r="B56" s="20" t="n"/>
      <c r="C56" s="20" t="n"/>
      <c r="D56" s="20" t="n"/>
      <c r="E56" s="20" t="n"/>
      <c r="F56" s="20" t="n"/>
      <c r="G56" s="2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5.75" customHeight="1" s="42">
      <c r="A57" s="4" t="n"/>
      <c r="B57" s="20" t="n"/>
      <c r="C57" s="20" t="n"/>
      <c r="D57" s="20" t="n"/>
      <c r="E57" s="20" t="n"/>
      <c r="F57" s="20" t="n"/>
      <c r="G57" s="2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5.75" customHeight="1" s="42">
      <c r="A58" s="4" t="n"/>
      <c r="B58" s="20" t="n"/>
      <c r="C58" s="20" t="n"/>
      <c r="D58" s="20" t="n"/>
      <c r="E58" s="20" t="n"/>
      <c r="F58" s="20" t="n"/>
      <c r="G58" s="2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5.75" customHeight="1" s="42">
      <c r="A59" s="4" t="n"/>
      <c r="B59" s="20" t="n"/>
      <c r="C59" s="20" t="n"/>
      <c r="D59" s="20" t="n"/>
      <c r="E59" s="20" t="n"/>
      <c r="F59" s="20" t="n"/>
      <c r="G59" s="2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5.75" customHeight="1" s="42">
      <c r="A60" s="4" t="n"/>
      <c r="B60" s="20" t="n"/>
      <c r="C60" s="20" t="n"/>
      <c r="D60" s="20" t="n"/>
      <c r="E60" s="20" t="n"/>
      <c r="F60" s="20" t="n"/>
      <c r="G60" s="2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5.75" customHeight="1" s="42">
      <c r="A61" s="4" t="n"/>
      <c r="B61" s="20" t="n"/>
      <c r="C61" s="20" t="n"/>
      <c r="D61" s="20" t="n"/>
      <c r="E61" s="20" t="n"/>
      <c r="F61" s="20" t="n"/>
      <c r="G61" s="2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5.75" customHeight="1" s="42">
      <c r="A62" s="4" t="n"/>
      <c r="B62" s="20" t="n"/>
      <c r="C62" s="20" t="n"/>
      <c r="D62" s="20" t="n"/>
      <c r="E62" s="20" t="n"/>
      <c r="F62" s="20" t="n"/>
      <c r="G62" s="2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5.75" customHeight="1" s="42">
      <c r="A63" s="4" t="n"/>
      <c r="B63" s="20" t="n"/>
      <c r="C63" s="20" t="n"/>
      <c r="D63" s="20" t="n"/>
      <c r="E63" s="20" t="n"/>
      <c r="F63" s="20" t="n"/>
      <c r="G63" s="2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5.75" customHeight="1" s="42">
      <c r="A64" s="4" t="n"/>
      <c r="B64" s="20" t="n"/>
      <c r="C64" s="20" t="n"/>
      <c r="D64" s="20" t="n"/>
      <c r="E64" s="20" t="n"/>
      <c r="F64" s="20" t="n"/>
      <c r="G64" s="2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5.75" customHeight="1" s="42">
      <c r="A65" s="4" t="n"/>
      <c r="B65" s="20" t="n"/>
      <c r="C65" s="20" t="n"/>
      <c r="D65" s="20" t="n"/>
      <c r="E65" s="20" t="n"/>
      <c r="F65" s="20" t="n"/>
      <c r="G65" s="2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5.75" customHeight="1" s="42">
      <c r="A66" s="4" t="n"/>
      <c r="B66" s="20" t="n"/>
      <c r="C66" s="20" t="n"/>
      <c r="D66" s="20" t="n"/>
      <c r="E66" s="20" t="n"/>
      <c r="F66" s="20" t="n"/>
      <c r="G66" s="2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5.75" customHeight="1" s="42">
      <c r="A67" s="4" t="n"/>
      <c r="B67" s="20" t="n"/>
      <c r="C67" s="20" t="n"/>
      <c r="D67" s="20" t="n"/>
      <c r="E67" s="20" t="n"/>
      <c r="F67" s="20" t="n"/>
      <c r="G67" s="2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5.75" customHeight="1" s="42">
      <c r="A68" s="4" t="n"/>
      <c r="B68" s="20" t="n"/>
      <c r="C68" s="20" t="n"/>
      <c r="D68" s="20" t="n"/>
      <c r="E68" s="20" t="n"/>
      <c r="F68" s="20" t="n"/>
      <c r="G68" s="2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5.75" customHeight="1" s="42">
      <c r="A69" s="4" t="n"/>
      <c r="B69" s="20" t="n"/>
      <c r="C69" s="20" t="n"/>
      <c r="D69" s="20" t="n"/>
      <c r="E69" s="20" t="n"/>
      <c r="F69" s="20" t="n"/>
      <c r="G69" s="2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5.75" customHeight="1" s="42">
      <c r="A70" s="4" t="n"/>
      <c r="B70" s="20" t="n"/>
      <c r="C70" s="20" t="n"/>
      <c r="D70" s="20" t="n"/>
      <c r="E70" s="20" t="n"/>
      <c r="F70" s="20" t="n"/>
      <c r="G70" s="2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5.75" customHeight="1" s="42">
      <c r="A71" s="4" t="n"/>
      <c r="B71" s="20" t="n"/>
      <c r="C71" s="20" t="n"/>
      <c r="D71" s="20" t="n"/>
      <c r="E71" s="20" t="n"/>
      <c r="F71" s="20" t="n"/>
      <c r="G71" s="2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5.75" customHeight="1" s="42">
      <c r="A72" s="4" t="n"/>
      <c r="B72" s="20" t="n"/>
      <c r="C72" s="20" t="n"/>
      <c r="D72" s="20" t="n"/>
      <c r="E72" s="20" t="n"/>
      <c r="F72" s="20" t="n"/>
      <c r="G72" s="2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5.75" customHeight="1" s="42">
      <c r="A73" s="4" t="n"/>
      <c r="B73" s="20" t="n"/>
      <c r="C73" s="20" t="n"/>
      <c r="D73" s="20" t="n"/>
      <c r="E73" s="20" t="n"/>
      <c r="F73" s="20" t="n"/>
      <c r="G73" s="2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5.75" customHeight="1" s="42">
      <c r="A74" s="4" t="n"/>
      <c r="B74" s="20" t="n"/>
      <c r="C74" s="20" t="n"/>
      <c r="D74" s="20" t="n"/>
      <c r="E74" s="20" t="n"/>
      <c r="F74" s="20" t="n"/>
      <c r="G74" s="2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5.75" customHeight="1" s="42">
      <c r="A75" s="4" t="n"/>
      <c r="B75" s="20" t="n"/>
      <c r="C75" s="20" t="n"/>
      <c r="D75" s="20" t="n"/>
      <c r="E75" s="20" t="n"/>
      <c r="F75" s="20" t="n"/>
      <c r="G75" s="2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5.75" customHeight="1" s="42">
      <c r="A76" s="4" t="n"/>
      <c r="B76" s="20" t="n"/>
      <c r="C76" s="20" t="n"/>
      <c r="D76" s="20" t="n"/>
      <c r="E76" s="20" t="n"/>
      <c r="F76" s="20" t="n"/>
      <c r="G76" s="2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5.75" customHeight="1" s="42">
      <c r="A77" s="4" t="n"/>
      <c r="B77" s="20" t="n"/>
      <c r="C77" s="20" t="n"/>
      <c r="D77" s="20" t="n"/>
      <c r="E77" s="20" t="n"/>
      <c r="F77" s="20" t="n"/>
      <c r="G77" s="2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5.75" customHeight="1" s="42">
      <c r="A78" s="4" t="n"/>
      <c r="B78" s="20" t="n"/>
      <c r="C78" s="20" t="n"/>
      <c r="D78" s="20" t="n"/>
      <c r="E78" s="20" t="n"/>
      <c r="F78" s="20" t="n"/>
      <c r="G78" s="2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5.75" customHeight="1" s="42">
      <c r="A79" s="4" t="n"/>
      <c r="B79" s="20" t="n"/>
      <c r="C79" s="20" t="n"/>
      <c r="D79" s="20" t="n"/>
      <c r="E79" s="20" t="n"/>
      <c r="F79" s="20" t="n"/>
      <c r="G79" s="2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5.75" customHeight="1" s="42">
      <c r="A80" s="4" t="n"/>
      <c r="B80" s="20" t="n"/>
      <c r="C80" s="20" t="n"/>
      <c r="D80" s="20" t="n"/>
      <c r="E80" s="20" t="n"/>
      <c r="F80" s="20" t="n"/>
      <c r="G80" s="2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5.75" customHeight="1" s="42">
      <c r="A81" s="4" t="n"/>
      <c r="B81" s="20" t="n"/>
      <c r="C81" s="20" t="n"/>
      <c r="D81" s="20" t="n"/>
      <c r="E81" s="20" t="n"/>
      <c r="F81" s="20" t="n"/>
      <c r="G81" s="2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5.75" customHeight="1" s="42">
      <c r="A82" s="4" t="n"/>
      <c r="B82" s="20" t="n"/>
      <c r="C82" s="20" t="n"/>
      <c r="D82" s="20" t="n"/>
      <c r="E82" s="20" t="n"/>
      <c r="F82" s="20" t="n"/>
      <c r="G82" s="2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5.75" customHeight="1" s="42">
      <c r="A83" s="4" t="n"/>
      <c r="B83" s="20" t="n"/>
      <c r="C83" s="20" t="n"/>
      <c r="D83" s="20" t="n"/>
      <c r="E83" s="20" t="n"/>
      <c r="F83" s="20" t="n"/>
      <c r="G83" s="2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5.75" customHeight="1" s="42">
      <c r="A84" s="4" t="n"/>
      <c r="B84" s="20" t="n"/>
      <c r="C84" s="20" t="n"/>
      <c r="D84" s="20" t="n"/>
      <c r="E84" s="20" t="n"/>
      <c r="F84" s="20" t="n"/>
      <c r="G84" s="2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5.75" customHeight="1" s="42">
      <c r="A85" s="4" t="n"/>
      <c r="B85" s="20" t="n"/>
      <c r="C85" s="20" t="n"/>
      <c r="D85" s="20" t="n"/>
      <c r="E85" s="20" t="n"/>
      <c r="F85" s="20" t="n"/>
      <c r="G85" s="2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5.75" customHeight="1" s="42">
      <c r="A86" s="4" t="n"/>
      <c r="B86" s="20" t="n"/>
      <c r="C86" s="20" t="n"/>
      <c r="D86" s="20" t="n"/>
      <c r="E86" s="20" t="n"/>
      <c r="F86" s="20" t="n"/>
      <c r="G86" s="2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5.75" customHeight="1" s="42">
      <c r="A87" s="4" t="n"/>
      <c r="B87" s="20" t="n"/>
      <c r="C87" s="20" t="n"/>
      <c r="D87" s="20" t="n"/>
      <c r="E87" s="20" t="n"/>
      <c r="F87" s="20" t="n"/>
      <c r="G87" s="2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5.75" customHeight="1" s="42">
      <c r="A88" s="4" t="n"/>
      <c r="B88" s="20" t="n"/>
      <c r="C88" s="20" t="n"/>
      <c r="D88" s="20" t="n"/>
      <c r="E88" s="20" t="n"/>
      <c r="F88" s="20" t="n"/>
      <c r="G88" s="2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5.75" customHeight="1" s="42">
      <c r="A89" s="4" t="n"/>
      <c r="B89" s="20" t="n"/>
      <c r="C89" s="20" t="n"/>
      <c r="D89" s="20" t="n"/>
      <c r="E89" s="20" t="n"/>
      <c r="F89" s="20" t="n"/>
      <c r="G89" s="2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5.75" customHeight="1" s="42">
      <c r="A90" s="4" t="n"/>
      <c r="B90" s="20" t="n"/>
      <c r="C90" s="20" t="n"/>
      <c r="D90" s="20" t="n"/>
      <c r="E90" s="20" t="n"/>
      <c r="F90" s="20" t="n"/>
      <c r="G90" s="2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5.75" customHeight="1" s="42">
      <c r="A91" s="4" t="n"/>
      <c r="B91" s="20" t="n"/>
      <c r="C91" s="20" t="n"/>
      <c r="D91" s="20" t="n"/>
      <c r="E91" s="20" t="n"/>
      <c r="F91" s="20" t="n"/>
      <c r="G91" s="2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5.75" customHeight="1" s="42">
      <c r="A92" s="4" t="n"/>
      <c r="B92" s="20" t="n"/>
      <c r="C92" s="20" t="n"/>
      <c r="D92" s="20" t="n"/>
      <c r="E92" s="20" t="n"/>
      <c r="F92" s="20" t="n"/>
      <c r="G92" s="2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5.75" customHeight="1" s="42">
      <c r="A93" s="4" t="n"/>
      <c r="B93" s="20" t="n"/>
      <c r="C93" s="20" t="n"/>
      <c r="D93" s="20" t="n"/>
      <c r="E93" s="20" t="n"/>
      <c r="F93" s="20" t="n"/>
      <c r="G93" s="2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5.75" customHeight="1" s="42">
      <c r="A94" s="4" t="n"/>
      <c r="B94" s="20" t="n"/>
      <c r="C94" s="20" t="n"/>
      <c r="D94" s="20" t="n"/>
      <c r="E94" s="20" t="n"/>
      <c r="F94" s="20" t="n"/>
      <c r="G94" s="2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5.75" customHeight="1" s="42">
      <c r="A95" s="4" t="n"/>
      <c r="B95" s="20" t="n"/>
      <c r="C95" s="20" t="n"/>
      <c r="D95" s="20" t="n"/>
      <c r="E95" s="20" t="n"/>
      <c r="F95" s="20" t="n"/>
      <c r="G95" s="2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5.75" customHeight="1" s="42">
      <c r="A96" s="4" t="n"/>
      <c r="B96" s="20" t="n"/>
      <c r="C96" s="20" t="n"/>
      <c r="D96" s="20" t="n"/>
      <c r="E96" s="20" t="n"/>
      <c r="F96" s="20" t="n"/>
      <c r="G96" s="2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5.75" customHeight="1" s="42">
      <c r="A97" s="4" t="n"/>
      <c r="B97" s="20" t="n"/>
      <c r="C97" s="20" t="n"/>
      <c r="D97" s="20" t="n"/>
      <c r="E97" s="20" t="n"/>
      <c r="F97" s="20" t="n"/>
      <c r="G97" s="2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5.75" customHeight="1" s="42">
      <c r="A98" s="4" t="n"/>
      <c r="B98" s="20" t="n"/>
      <c r="C98" s="20" t="n"/>
      <c r="D98" s="20" t="n"/>
      <c r="E98" s="20" t="n"/>
      <c r="F98" s="20" t="n"/>
      <c r="G98" s="2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5.75" customHeight="1" s="42">
      <c r="A99" s="4" t="n"/>
      <c r="B99" s="20" t="n"/>
      <c r="C99" s="20" t="n"/>
      <c r="D99" s="20" t="n"/>
      <c r="E99" s="20" t="n"/>
      <c r="F99" s="20" t="n"/>
      <c r="G99" s="2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5.75" customHeight="1" s="42">
      <c r="A100" s="4" t="n"/>
      <c r="B100" s="20" t="n"/>
      <c r="C100" s="20" t="n"/>
      <c r="D100" s="20" t="n"/>
      <c r="E100" s="20" t="n"/>
      <c r="F100" s="20" t="n"/>
      <c r="G100" s="2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5.75" customHeight="1" s="42">
      <c r="A101" s="4" t="n"/>
      <c r="B101" s="20" t="n"/>
      <c r="C101" s="20" t="n"/>
      <c r="D101" s="20" t="n"/>
      <c r="E101" s="20" t="n"/>
      <c r="F101" s="20" t="n"/>
      <c r="G101" s="2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5.75" customHeight="1" s="42">
      <c r="A102" s="4" t="n"/>
      <c r="B102" s="20" t="n"/>
      <c r="C102" s="20" t="n"/>
      <c r="D102" s="20" t="n"/>
      <c r="E102" s="20" t="n"/>
      <c r="F102" s="20" t="n"/>
      <c r="G102" s="2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5.75" customHeight="1" s="42">
      <c r="A103" s="4" t="n"/>
      <c r="B103" s="20" t="n"/>
      <c r="C103" s="20" t="n"/>
      <c r="D103" s="20" t="n"/>
      <c r="E103" s="20" t="n"/>
      <c r="F103" s="20" t="n"/>
      <c r="G103" s="2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5.75" customHeight="1" s="42">
      <c r="A104" s="4" t="n"/>
      <c r="B104" s="20" t="n"/>
      <c r="C104" s="20" t="n"/>
      <c r="D104" s="20" t="n"/>
      <c r="E104" s="20" t="n"/>
      <c r="F104" s="20" t="n"/>
      <c r="G104" s="2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5.75" customHeight="1" s="42">
      <c r="A105" s="4" t="n"/>
      <c r="B105" s="20" t="n"/>
      <c r="C105" s="20" t="n"/>
      <c r="D105" s="20" t="n"/>
      <c r="E105" s="20" t="n"/>
      <c r="F105" s="20" t="n"/>
      <c r="G105" s="2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5.75" customHeight="1" s="42">
      <c r="A106" s="4" t="n"/>
      <c r="B106" s="20" t="n"/>
      <c r="C106" s="20" t="n"/>
      <c r="D106" s="20" t="n"/>
      <c r="E106" s="20" t="n"/>
      <c r="F106" s="20" t="n"/>
      <c r="G106" s="2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5.75" customHeight="1" s="42">
      <c r="A107" s="4" t="n"/>
      <c r="B107" s="20" t="n"/>
      <c r="C107" s="20" t="n"/>
      <c r="D107" s="20" t="n"/>
      <c r="E107" s="20" t="n"/>
      <c r="F107" s="20" t="n"/>
      <c r="G107" s="2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5.75" customHeight="1" s="42">
      <c r="A108" s="4" t="n"/>
      <c r="B108" s="20" t="n"/>
      <c r="C108" s="20" t="n"/>
      <c r="D108" s="20" t="n"/>
      <c r="E108" s="20" t="n"/>
      <c r="F108" s="20" t="n"/>
      <c r="G108" s="2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5.75" customHeight="1" s="42">
      <c r="A109" s="4" t="n"/>
      <c r="B109" s="20" t="n"/>
      <c r="C109" s="20" t="n"/>
      <c r="D109" s="20" t="n"/>
      <c r="E109" s="20" t="n"/>
      <c r="F109" s="20" t="n"/>
      <c r="G109" s="2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5.75" customHeight="1" s="42">
      <c r="A110" s="4" t="n"/>
      <c r="B110" s="20" t="n"/>
      <c r="C110" s="20" t="n"/>
      <c r="D110" s="20" t="n"/>
      <c r="E110" s="20" t="n"/>
      <c r="F110" s="20" t="n"/>
      <c r="G110" s="2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5.75" customHeight="1" s="42">
      <c r="A111" s="4" t="n"/>
      <c r="B111" s="20" t="n"/>
      <c r="C111" s="20" t="n"/>
      <c r="D111" s="20" t="n"/>
      <c r="E111" s="20" t="n"/>
      <c r="F111" s="20" t="n"/>
      <c r="G111" s="2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5.75" customHeight="1" s="42">
      <c r="A112" s="4" t="n"/>
      <c r="B112" s="20" t="n"/>
      <c r="C112" s="20" t="n"/>
      <c r="D112" s="20" t="n"/>
      <c r="E112" s="20" t="n"/>
      <c r="F112" s="20" t="n"/>
      <c r="G112" s="2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5.75" customHeight="1" s="42">
      <c r="A113" s="4" t="n"/>
      <c r="B113" s="20" t="n"/>
      <c r="C113" s="20" t="n"/>
      <c r="D113" s="20" t="n"/>
      <c r="E113" s="20" t="n"/>
      <c r="F113" s="20" t="n"/>
      <c r="G113" s="2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5.75" customHeight="1" s="42">
      <c r="A114" s="4" t="n"/>
      <c r="B114" s="20" t="n"/>
      <c r="C114" s="20" t="n"/>
      <c r="D114" s="20" t="n"/>
      <c r="E114" s="20" t="n"/>
      <c r="F114" s="20" t="n"/>
      <c r="G114" s="2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5.75" customHeight="1" s="42">
      <c r="A115" s="4" t="n"/>
      <c r="B115" s="20" t="n"/>
      <c r="C115" s="20" t="n"/>
      <c r="D115" s="20" t="n"/>
      <c r="E115" s="20" t="n"/>
      <c r="F115" s="20" t="n"/>
      <c r="G115" s="2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5.75" customHeight="1" s="42">
      <c r="A116" s="4" t="n"/>
      <c r="B116" s="20" t="n"/>
      <c r="C116" s="20" t="n"/>
      <c r="D116" s="20" t="n"/>
      <c r="E116" s="20" t="n"/>
      <c r="F116" s="20" t="n"/>
      <c r="G116" s="2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5.75" customHeight="1" s="42">
      <c r="A117" s="4" t="n"/>
      <c r="B117" s="20" t="n"/>
      <c r="C117" s="20" t="n"/>
      <c r="D117" s="20" t="n"/>
      <c r="E117" s="20" t="n"/>
      <c r="F117" s="20" t="n"/>
      <c r="G117" s="2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5.75" customHeight="1" s="42">
      <c r="A118" s="4" t="n"/>
      <c r="B118" s="20" t="n"/>
      <c r="C118" s="20" t="n"/>
      <c r="D118" s="20" t="n"/>
      <c r="E118" s="20" t="n"/>
      <c r="F118" s="20" t="n"/>
      <c r="G118" s="2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5.75" customHeight="1" s="42">
      <c r="A119" s="4" t="n"/>
      <c r="B119" s="20" t="n"/>
      <c r="C119" s="20" t="n"/>
      <c r="D119" s="20" t="n"/>
      <c r="E119" s="20" t="n"/>
      <c r="F119" s="20" t="n"/>
      <c r="G119" s="2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5.75" customHeight="1" s="42">
      <c r="A120" s="4" t="n"/>
      <c r="B120" s="20" t="n"/>
      <c r="C120" s="20" t="n"/>
      <c r="D120" s="20" t="n"/>
      <c r="E120" s="20" t="n"/>
      <c r="F120" s="20" t="n"/>
      <c r="G120" s="2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5.75" customHeight="1" s="42">
      <c r="A121" s="4" t="n"/>
      <c r="B121" s="20" t="n"/>
      <c r="C121" s="20" t="n"/>
      <c r="D121" s="20" t="n"/>
      <c r="E121" s="20" t="n"/>
      <c r="F121" s="20" t="n"/>
      <c r="G121" s="2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5.75" customHeight="1" s="42">
      <c r="A122" s="4" t="n"/>
      <c r="B122" s="20" t="n"/>
      <c r="C122" s="20" t="n"/>
      <c r="D122" s="20" t="n"/>
      <c r="E122" s="20" t="n"/>
      <c r="F122" s="20" t="n"/>
      <c r="G122" s="2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5.75" customHeight="1" s="42">
      <c r="A123" s="4" t="n"/>
      <c r="B123" s="20" t="n"/>
      <c r="C123" s="20" t="n"/>
      <c r="D123" s="20" t="n"/>
      <c r="E123" s="20" t="n"/>
      <c r="F123" s="20" t="n"/>
      <c r="G123" s="2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5.75" customHeight="1" s="42">
      <c r="A124" s="4" t="n"/>
      <c r="B124" s="20" t="n"/>
      <c r="C124" s="20" t="n"/>
      <c r="D124" s="20" t="n"/>
      <c r="E124" s="20" t="n"/>
      <c r="F124" s="20" t="n"/>
      <c r="G124" s="2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5.75" customHeight="1" s="42">
      <c r="A125" s="4" t="n"/>
      <c r="B125" s="20" t="n"/>
      <c r="C125" s="20" t="n"/>
      <c r="D125" s="20" t="n"/>
      <c r="E125" s="20" t="n"/>
      <c r="F125" s="20" t="n"/>
      <c r="G125" s="2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5.75" customHeight="1" s="42">
      <c r="A126" s="4" t="n"/>
      <c r="B126" s="20" t="n"/>
      <c r="C126" s="20" t="n"/>
      <c r="D126" s="20" t="n"/>
      <c r="E126" s="20" t="n"/>
      <c r="F126" s="20" t="n"/>
      <c r="G126" s="2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5.75" customHeight="1" s="42">
      <c r="A127" s="4" t="n"/>
      <c r="B127" s="20" t="n"/>
      <c r="C127" s="20" t="n"/>
      <c r="D127" s="20" t="n"/>
      <c r="E127" s="20" t="n"/>
      <c r="F127" s="20" t="n"/>
      <c r="G127" s="2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5.75" customHeight="1" s="42">
      <c r="A128" s="4" t="n"/>
      <c r="B128" s="20" t="n"/>
      <c r="C128" s="20" t="n"/>
      <c r="D128" s="20" t="n"/>
      <c r="E128" s="20" t="n"/>
      <c r="F128" s="20" t="n"/>
      <c r="G128" s="2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5.75" customHeight="1" s="42">
      <c r="A129" s="4" t="n"/>
      <c r="B129" s="20" t="n"/>
      <c r="C129" s="20" t="n"/>
      <c r="D129" s="20" t="n"/>
      <c r="E129" s="20" t="n"/>
      <c r="F129" s="20" t="n"/>
      <c r="G129" s="2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5.75" customHeight="1" s="42">
      <c r="A130" s="4" t="n"/>
      <c r="B130" s="20" t="n"/>
      <c r="C130" s="20" t="n"/>
      <c r="D130" s="20" t="n"/>
      <c r="E130" s="20" t="n"/>
      <c r="F130" s="20" t="n"/>
      <c r="G130" s="2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42">
      <c r="A131" s="4" t="n"/>
      <c r="B131" s="20" t="n"/>
      <c r="C131" s="20" t="n"/>
      <c r="D131" s="20" t="n"/>
      <c r="E131" s="20" t="n"/>
      <c r="F131" s="20" t="n"/>
      <c r="G131" s="2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5.75" customHeight="1" s="42">
      <c r="A132" s="4" t="n"/>
      <c r="B132" s="20" t="n"/>
      <c r="C132" s="20" t="n"/>
      <c r="D132" s="20" t="n"/>
      <c r="E132" s="20" t="n"/>
      <c r="F132" s="20" t="n"/>
      <c r="G132" s="2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5.75" customHeight="1" s="42">
      <c r="A133" s="4" t="n"/>
      <c r="B133" s="20" t="n"/>
      <c r="C133" s="20" t="n"/>
      <c r="D133" s="20" t="n"/>
      <c r="E133" s="20" t="n"/>
      <c r="F133" s="20" t="n"/>
      <c r="G133" s="2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5.75" customHeight="1" s="42">
      <c r="A134" s="4" t="n"/>
      <c r="B134" s="20" t="n"/>
      <c r="C134" s="20" t="n"/>
      <c r="D134" s="20" t="n"/>
      <c r="E134" s="20" t="n"/>
      <c r="F134" s="20" t="n"/>
      <c r="G134" s="2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5.75" customHeight="1" s="42">
      <c r="A135" s="4" t="n"/>
      <c r="B135" s="20" t="n"/>
      <c r="C135" s="20" t="n"/>
      <c r="D135" s="20" t="n"/>
      <c r="E135" s="20" t="n"/>
      <c r="F135" s="20" t="n"/>
      <c r="G135" s="2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5.75" customHeight="1" s="42">
      <c r="A136" s="4" t="n"/>
      <c r="B136" s="20" t="n"/>
      <c r="C136" s="20" t="n"/>
      <c r="D136" s="20" t="n"/>
      <c r="E136" s="20" t="n"/>
      <c r="F136" s="20" t="n"/>
      <c r="G136" s="2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5.75" customHeight="1" s="42">
      <c r="A137" s="4" t="n"/>
      <c r="B137" s="20" t="n"/>
      <c r="C137" s="20" t="n"/>
      <c r="D137" s="20" t="n"/>
      <c r="E137" s="20" t="n"/>
      <c r="F137" s="20" t="n"/>
      <c r="G137" s="2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5.75" customHeight="1" s="42">
      <c r="A138" s="4" t="n"/>
      <c r="B138" s="20" t="n"/>
      <c r="C138" s="20" t="n"/>
      <c r="D138" s="20" t="n"/>
      <c r="E138" s="20" t="n"/>
      <c r="F138" s="20" t="n"/>
      <c r="G138" s="2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5.75" customHeight="1" s="42">
      <c r="A139" s="4" t="n"/>
      <c r="B139" s="20" t="n"/>
      <c r="C139" s="20" t="n"/>
      <c r="D139" s="20" t="n"/>
      <c r="E139" s="20" t="n"/>
      <c r="F139" s="20" t="n"/>
      <c r="G139" s="2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5.75" customHeight="1" s="42">
      <c r="A140" s="4" t="n"/>
      <c r="B140" s="20" t="n"/>
      <c r="C140" s="20" t="n"/>
      <c r="D140" s="20" t="n"/>
      <c r="E140" s="20" t="n"/>
      <c r="F140" s="20" t="n"/>
      <c r="G140" s="2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5.75" customHeight="1" s="42">
      <c r="A141" s="4" t="n"/>
      <c r="B141" s="20" t="n"/>
      <c r="C141" s="20" t="n"/>
      <c r="D141" s="20" t="n"/>
      <c r="E141" s="20" t="n"/>
      <c r="F141" s="20" t="n"/>
      <c r="G141" s="2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5.75" customHeight="1" s="42">
      <c r="A142" s="4" t="n"/>
      <c r="B142" s="20" t="n"/>
      <c r="C142" s="20" t="n"/>
      <c r="D142" s="20" t="n"/>
      <c r="E142" s="20" t="n"/>
      <c r="F142" s="20" t="n"/>
      <c r="G142" s="2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5.75" customHeight="1" s="42">
      <c r="A143" s="4" t="n"/>
      <c r="B143" s="20" t="n"/>
      <c r="C143" s="20" t="n"/>
      <c r="D143" s="20" t="n"/>
      <c r="E143" s="20" t="n"/>
      <c r="F143" s="20" t="n"/>
      <c r="G143" s="2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5.75" customHeight="1" s="42">
      <c r="A144" s="4" t="n"/>
      <c r="B144" s="20" t="n"/>
      <c r="C144" s="20" t="n"/>
      <c r="D144" s="20" t="n"/>
      <c r="E144" s="20" t="n"/>
      <c r="F144" s="20" t="n"/>
      <c r="G144" s="2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5.75" customHeight="1" s="42">
      <c r="A145" s="4" t="n"/>
      <c r="B145" s="20" t="n"/>
      <c r="C145" s="20" t="n"/>
      <c r="D145" s="20" t="n"/>
      <c r="E145" s="20" t="n"/>
      <c r="F145" s="20" t="n"/>
      <c r="G145" s="2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5.75" customHeight="1" s="42">
      <c r="A146" s="4" t="n"/>
      <c r="B146" s="20" t="n"/>
      <c r="C146" s="20" t="n"/>
      <c r="D146" s="20" t="n"/>
      <c r="E146" s="20" t="n"/>
      <c r="F146" s="20" t="n"/>
      <c r="G146" s="2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5.75" customHeight="1" s="42">
      <c r="A147" s="4" t="n"/>
      <c r="B147" s="20" t="n"/>
      <c r="C147" s="20" t="n"/>
      <c r="D147" s="20" t="n"/>
      <c r="E147" s="20" t="n"/>
      <c r="F147" s="20" t="n"/>
      <c r="G147" s="2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5.75" customHeight="1" s="42">
      <c r="A148" s="4" t="n"/>
      <c r="B148" s="20" t="n"/>
      <c r="C148" s="20" t="n"/>
      <c r="D148" s="20" t="n"/>
      <c r="E148" s="20" t="n"/>
      <c r="F148" s="20" t="n"/>
      <c r="G148" s="2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5.75" customHeight="1" s="42">
      <c r="A149" s="4" t="n"/>
      <c r="B149" s="20" t="n"/>
      <c r="C149" s="20" t="n"/>
      <c r="D149" s="20" t="n"/>
      <c r="E149" s="20" t="n"/>
      <c r="F149" s="20" t="n"/>
      <c r="G149" s="2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5.75" customHeight="1" s="42">
      <c r="A150" s="4" t="n"/>
      <c r="B150" s="20" t="n"/>
      <c r="C150" s="20" t="n"/>
      <c r="D150" s="20" t="n"/>
      <c r="E150" s="20" t="n"/>
      <c r="F150" s="20" t="n"/>
      <c r="G150" s="2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5.75" customHeight="1" s="42">
      <c r="A151" s="4" t="n"/>
      <c r="B151" s="20" t="n"/>
      <c r="C151" s="20" t="n"/>
      <c r="D151" s="20" t="n"/>
      <c r="E151" s="20" t="n"/>
      <c r="F151" s="20" t="n"/>
      <c r="G151" s="2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5.75" customHeight="1" s="42">
      <c r="A152" s="4" t="n"/>
      <c r="B152" s="20" t="n"/>
      <c r="C152" s="20" t="n"/>
      <c r="D152" s="20" t="n"/>
      <c r="E152" s="20" t="n"/>
      <c r="F152" s="20" t="n"/>
      <c r="G152" s="2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5.75" customHeight="1" s="42">
      <c r="A153" s="4" t="n"/>
      <c r="B153" s="20" t="n"/>
      <c r="C153" s="20" t="n"/>
      <c r="D153" s="20" t="n"/>
      <c r="E153" s="20" t="n"/>
      <c r="F153" s="20" t="n"/>
      <c r="G153" s="2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5.75" customHeight="1" s="42">
      <c r="A154" s="4" t="n"/>
      <c r="B154" s="20" t="n"/>
      <c r="C154" s="20" t="n"/>
      <c r="D154" s="20" t="n"/>
      <c r="E154" s="20" t="n"/>
      <c r="F154" s="20" t="n"/>
      <c r="G154" s="2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5.75" customHeight="1" s="42">
      <c r="A155" s="4" t="n"/>
      <c r="B155" s="20" t="n"/>
      <c r="C155" s="20" t="n"/>
      <c r="D155" s="20" t="n"/>
      <c r="E155" s="20" t="n"/>
      <c r="F155" s="20" t="n"/>
      <c r="G155" s="2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5.75" customHeight="1" s="42">
      <c r="A156" s="4" t="n"/>
      <c r="B156" s="20" t="n"/>
      <c r="C156" s="20" t="n"/>
      <c r="D156" s="20" t="n"/>
      <c r="E156" s="20" t="n"/>
      <c r="F156" s="20" t="n"/>
      <c r="G156" s="2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5.75" customHeight="1" s="42">
      <c r="A157" s="4" t="n"/>
      <c r="B157" s="20" t="n"/>
      <c r="C157" s="20" t="n"/>
      <c r="D157" s="20" t="n"/>
      <c r="E157" s="20" t="n"/>
      <c r="F157" s="20" t="n"/>
      <c r="G157" s="2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5.75" customHeight="1" s="42">
      <c r="A158" s="4" t="n"/>
      <c r="B158" s="20" t="n"/>
      <c r="C158" s="20" t="n"/>
      <c r="D158" s="20" t="n"/>
      <c r="E158" s="20" t="n"/>
      <c r="F158" s="20" t="n"/>
      <c r="G158" s="2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5.75" customHeight="1" s="42">
      <c r="A159" s="4" t="n"/>
      <c r="B159" s="20" t="n"/>
      <c r="C159" s="20" t="n"/>
      <c r="D159" s="20" t="n"/>
      <c r="E159" s="20" t="n"/>
      <c r="F159" s="20" t="n"/>
      <c r="G159" s="2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5.75" customHeight="1" s="42">
      <c r="A160" s="4" t="n"/>
      <c r="B160" s="20" t="n"/>
      <c r="C160" s="20" t="n"/>
      <c r="D160" s="20" t="n"/>
      <c r="E160" s="20" t="n"/>
      <c r="F160" s="20" t="n"/>
      <c r="G160" s="2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5.75" customHeight="1" s="42">
      <c r="A161" s="4" t="n"/>
      <c r="B161" s="20" t="n"/>
      <c r="C161" s="20" t="n"/>
      <c r="D161" s="20" t="n"/>
      <c r="E161" s="20" t="n"/>
      <c r="F161" s="20" t="n"/>
      <c r="G161" s="2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5.75" customHeight="1" s="42">
      <c r="A162" s="4" t="n"/>
      <c r="B162" s="20" t="n"/>
      <c r="C162" s="20" t="n"/>
      <c r="D162" s="20" t="n"/>
      <c r="E162" s="20" t="n"/>
      <c r="F162" s="20" t="n"/>
      <c r="G162" s="2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5.75" customHeight="1" s="42">
      <c r="A163" s="4" t="n"/>
      <c r="B163" s="20" t="n"/>
      <c r="C163" s="20" t="n"/>
      <c r="D163" s="20" t="n"/>
      <c r="E163" s="20" t="n"/>
      <c r="F163" s="20" t="n"/>
      <c r="G163" s="2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5.75" customHeight="1" s="42">
      <c r="A164" s="4" t="n"/>
      <c r="B164" s="20" t="n"/>
      <c r="C164" s="20" t="n"/>
      <c r="D164" s="20" t="n"/>
      <c r="E164" s="20" t="n"/>
      <c r="F164" s="20" t="n"/>
      <c r="G164" s="2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5.75" customHeight="1" s="42">
      <c r="A165" s="4" t="n"/>
      <c r="B165" s="20" t="n"/>
      <c r="C165" s="20" t="n"/>
      <c r="D165" s="20" t="n"/>
      <c r="E165" s="20" t="n"/>
      <c r="F165" s="20" t="n"/>
      <c r="G165" s="2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5.75" customHeight="1" s="42">
      <c r="A166" s="4" t="n"/>
      <c r="B166" s="20" t="n"/>
      <c r="C166" s="20" t="n"/>
      <c r="D166" s="20" t="n"/>
      <c r="E166" s="20" t="n"/>
      <c r="F166" s="20" t="n"/>
      <c r="G166" s="2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5.75" customHeight="1" s="42">
      <c r="A167" s="4" t="n"/>
      <c r="B167" s="20" t="n"/>
      <c r="C167" s="20" t="n"/>
      <c r="D167" s="20" t="n"/>
      <c r="E167" s="20" t="n"/>
      <c r="F167" s="20" t="n"/>
      <c r="G167" s="2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5.75" customHeight="1" s="42">
      <c r="A168" s="4" t="n"/>
      <c r="B168" s="20" t="n"/>
      <c r="C168" s="20" t="n"/>
      <c r="D168" s="20" t="n"/>
      <c r="E168" s="20" t="n"/>
      <c r="F168" s="20" t="n"/>
      <c r="G168" s="2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5.75" customHeight="1" s="42">
      <c r="A169" s="4" t="n"/>
      <c r="B169" s="20" t="n"/>
      <c r="C169" s="20" t="n"/>
      <c r="D169" s="20" t="n"/>
      <c r="E169" s="20" t="n"/>
      <c r="F169" s="20" t="n"/>
      <c r="G169" s="2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5.75" customHeight="1" s="42">
      <c r="A170" s="4" t="n"/>
      <c r="B170" s="20" t="n"/>
      <c r="C170" s="20" t="n"/>
      <c r="D170" s="20" t="n"/>
      <c r="E170" s="20" t="n"/>
      <c r="F170" s="20" t="n"/>
      <c r="G170" s="2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5.75" customHeight="1" s="42">
      <c r="A171" s="4" t="n"/>
      <c r="B171" s="20" t="n"/>
      <c r="C171" s="20" t="n"/>
      <c r="D171" s="20" t="n"/>
      <c r="E171" s="20" t="n"/>
      <c r="F171" s="20" t="n"/>
      <c r="G171" s="2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5.75" customHeight="1" s="42">
      <c r="A172" s="4" t="n"/>
      <c r="B172" s="20" t="n"/>
      <c r="C172" s="20" t="n"/>
      <c r="D172" s="20" t="n"/>
      <c r="E172" s="20" t="n"/>
      <c r="F172" s="20" t="n"/>
      <c r="G172" s="2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5.75" customHeight="1" s="42">
      <c r="A173" s="4" t="n"/>
      <c r="B173" s="20" t="n"/>
      <c r="C173" s="20" t="n"/>
      <c r="D173" s="20" t="n"/>
      <c r="E173" s="20" t="n"/>
      <c r="F173" s="20" t="n"/>
      <c r="G173" s="2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5.75" customHeight="1" s="42">
      <c r="A174" s="4" t="n"/>
      <c r="B174" s="20" t="n"/>
      <c r="C174" s="20" t="n"/>
      <c r="D174" s="20" t="n"/>
      <c r="E174" s="20" t="n"/>
      <c r="F174" s="20" t="n"/>
      <c r="G174" s="2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5.75" customHeight="1" s="42">
      <c r="A175" s="4" t="n"/>
      <c r="B175" s="20" t="n"/>
      <c r="C175" s="20" t="n"/>
      <c r="D175" s="20" t="n"/>
      <c r="E175" s="20" t="n"/>
      <c r="F175" s="20" t="n"/>
      <c r="G175" s="2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5.75" customHeight="1" s="42">
      <c r="A176" s="4" t="n"/>
      <c r="B176" s="20" t="n"/>
      <c r="C176" s="20" t="n"/>
      <c r="D176" s="20" t="n"/>
      <c r="E176" s="20" t="n"/>
      <c r="F176" s="20" t="n"/>
      <c r="G176" s="2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5.75" customHeight="1" s="42">
      <c r="A177" s="4" t="n"/>
      <c r="B177" s="20" t="n"/>
      <c r="C177" s="20" t="n"/>
      <c r="D177" s="20" t="n"/>
      <c r="E177" s="20" t="n"/>
      <c r="F177" s="20" t="n"/>
      <c r="G177" s="2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5.75" customHeight="1" s="42">
      <c r="A178" s="4" t="n"/>
      <c r="B178" s="20" t="n"/>
      <c r="C178" s="20" t="n"/>
      <c r="D178" s="20" t="n"/>
      <c r="E178" s="20" t="n"/>
      <c r="F178" s="20" t="n"/>
      <c r="G178" s="2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5.75" customHeight="1" s="42">
      <c r="A179" s="4" t="n"/>
      <c r="B179" s="20" t="n"/>
      <c r="C179" s="20" t="n"/>
      <c r="D179" s="20" t="n"/>
      <c r="E179" s="20" t="n"/>
      <c r="F179" s="20" t="n"/>
      <c r="G179" s="2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5.75" customHeight="1" s="42">
      <c r="A180" s="4" t="n"/>
      <c r="B180" s="20" t="n"/>
      <c r="C180" s="20" t="n"/>
      <c r="D180" s="20" t="n"/>
      <c r="E180" s="20" t="n"/>
      <c r="F180" s="20" t="n"/>
      <c r="G180" s="2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5.75" customHeight="1" s="42">
      <c r="A181" s="4" t="n"/>
      <c r="B181" s="20" t="n"/>
      <c r="C181" s="20" t="n"/>
      <c r="D181" s="20" t="n"/>
      <c r="E181" s="20" t="n"/>
      <c r="F181" s="20" t="n"/>
      <c r="G181" s="2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5.75" customHeight="1" s="42">
      <c r="A182" s="4" t="n"/>
      <c r="B182" s="20" t="n"/>
      <c r="C182" s="20" t="n"/>
      <c r="D182" s="20" t="n"/>
      <c r="E182" s="20" t="n"/>
      <c r="F182" s="20" t="n"/>
      <c r="G182" s="2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5.75" customHeight="1" s="42">
      <c r="A183" s="4" t="n"/>
      <c r="B183" s="20" t="n"/>
      <c r="C183" s="20" t="n"/>
      <c r="D183" s="20" t="n"/>
      <c r="E183" s="20" t="n"/>
      <c r="F183" s="20" t="n"/>
      <c r="G183" s="2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5.75" customHeight="1" s="42">
      <c r="A184" s="4" t="n"/>
      <c r="B184" s="20" t="n"/>
      <c r="C184" s="20" t="n"/>
      <c r="D184" s="20" t="n"/>
      <c r="E184" s="20" t="n"/>
      <c r="F184" s="20" t="n"/>
      <c r="G184" s="2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5.75" customHeight="1" s="42">
      <c r="A185" s="4" t="n"/>
      <c r="B185" s="20" t="n"/>
      <c r="C185" s="20" t="n"/>
      <c r="D185" s="20" t="n"/>
      <c r="E185" s="20" t="n"/>
      <c r="F185" s="20" t="n"/>
      <c r="G185" s="2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5.75" customHeight="1" s="42">
      <c r="A186" s="4" t="n"/>
      <c r="B186" s="20" t="n"/>
      <c r="C186" s="20" t="n"/>
      <c r="D186" s="20" t="n"/>
      <c r="E186" s="20" t="n"/>
      <c r="F186" s="20" t="n"/>
      <c r="G186" s="2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5.75" customHeight="1" s="42">
      <c r="A187" s="4" t="n"/>
      <c r="B187" s="20" t="n"/>
      <c r="C187" s="20" t="n"/>
      <c r="D187" s="20" t="n"/>
      <c r="E187" s="20" t="n"/>
      <c r="F187" s="20" t="n"/>
      <c r="G187" s="2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5.75" customHeight="1" s="42">
      <c r="A188" s="4" t="n"/>
      <c r="B188" s="20" t="n"/>
      <c r="C188" s="20" t="n"/>
      <c r="D188" s="20" t="n"/>
      <c r="E188" s="20" t="n"/>
      <c r="F188" s="20" t="n"/>
      <c r="G188" s="2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5.75" customHeight="1" s="42">
      <c r="A189" s="4" t="n"/>
      <c r="B189" s="20" t="n"/>
      <c r="C189" s="20" t="n"/>
      <c r="D189" s="20" t="n"/>
      <c r="E189" s="20" t="n"/>
      <c r="F189" s="20" t="n"/>
      <c r="G189" s="2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5.75" customHeight="1" s="42">
      <c r="A190" s="4" t="n"/>
      <c r="B190" s="20" t="n"/>
      <c r="C190" s="20" t="n"/>
      <c r="D190" s="20" t="n"/>
      <c r="E190" s="20" t="n"/>
      <c r="F190" s="20" t="n"/>
      <c r="G190" s="2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5.75" customHeight="1" s="42">
      <c r="A191" s="4" t="n"/>
      <c r="B191" s="20" t="n"/>
      <c r="C191" s="20" t="n"/>
      <c r="D191" s="20" t="n"/>
      <c r="E191" s="20" t="n"/>
      <c r="F191" s="20" t="n"/>
      <c r="G191" s="2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5.75" customHeight="1" s="42">
      <c r="A192" s="4" t="n"/>
      <c r="B192" s="20" t="n"/>
      <c r="C192" s="20" t="n"/>
      <c r="D192" s="20" t="n"/>
      <c r="E192" s="20" t="n"/>
      <c r="F192" s="20" t="n"/>
      <c r="G192" s="2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5.75" customHeight="1" s="42">
      <c r="A193" s="4" t="n"/>
      <c r="B193" s="20" t="n"/>
      <c r="C193" s="20" t="n"/>
      <c r="D193" s="20" t="n"/>
      <c r="E193" s="20" t="n"/>
      <c r="F193" s="20" t="n"/>
      <c r="G193" s="2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5.75" customHeight="1" s="42">
      <c r="A194" s="4" t="n"/>
      <c r="B194" s="20" t="n"/>
      <c r="C194" s="20" t="n"/>
      <c r="D194" s="20" t="n"/>
      <c r="E194" s="20" t="n"/>
      <c r="F194" s="20" t="n"/>
      <c r="G194" s="2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5.75" customHeight="1" s="42">
      <c r="A195" s="4" t="n"/>
      <c r="B195" s="20" t="n"/>
      <c r="C195" s="20" t="n"/>
      <c r="D195" s="20" t="n"/>
      <c r="E195" s="20" t="n"/>
      <c r="F195" s="20" t="n"/>
      <c r="G195" s="2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5.75" customHeight="1" s="42">
      <c r="A196" s="4" t="n"/>
      <c r="B196" s="20" t="n"/>
      <c r="C196" s="20" t="n"/>
      <c r="D196" s="20" t="n"/>
      <c r="E196" s="20" t="n"/>
      <c r="F196" s="20" t="n"/>
      <c r="G196" s="2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5.75" customHeight="1" s="42">
      <c r="A197" s="4" t="n"/>
      <c r="B197" s="20" t="n"/>
      <c r="C197" s="20" t="n"/>
      <c r="D197" s="20" t="n"/>
      <c r="E197" s="20" t="n"/>
      <c r="F197" s="20" t="n"/>
      <c r="G197" s="2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5.75" customHeight="1" s="42">
      <c r="A198" s="4" t="n"/>
      <c r="B198" s="20" t="n"/>
      <c r="C198" s="20" t="n"/>
      <c r="D198" s="20" t="n"/>
      <c r="E198" s="20" t="n"/>
      <c r="F198" s="20" t="n"/>
      <c r="G198" s="2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5.75" customHeight="1" s="42">
      <c r="A199" s="4" t="n"/>
      <c r="B199" s="20" t="n"/>
      <c r="C199" s="20" t="n"/>
      <c r="D199" s="20" t="n"/>
      <c r="E199" s="20" t="n"/>
      <c r="F199" s="20" t="n"/>
      <c r="G199" s="2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5.75" customHeight="1" s="42">
      <c r="A200" s="4" t="n"/>
      <c r="B200" s="20" t="n"/>
      <c r="C200" s="20" t="n"/>
      <c r="D200" s="20" t="n"/>
      <c r="E200" s="20" t="n"/>
      <c r="F200" s="20" t="n"/>
      <c r="G200" s="2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5.75" customHeight="1" s="42">
      <c r="A201" s="4" t="n"/>
      <c r="B201" s="20" t="n"/>
      <c r="C201" s="20" t="n"/>
      <c r="D201" s="20" t="n"/>
      <c r="E201" s="20" t="n"/>
      <c r="F201" s="20" t="n"/>
      <c r="G201" s="2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5.75" customHeight="1" s="42">
      <c r="A202" s="4" t="n"/>
      <c r="B202" s="20" t="n"/>
      <c r="C202" s="20" t="n"/>
      <c r="D202" s="20" t="n"/>
      <c r="E202" s="20" t="n"/>
      <c r="F202" s="20" t="n"/>
      <c r="G202" s="2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5.75" customHeight="1" s="42">
      <c r="A203" s="4" t="n"/>
      <c r="B203" s="20" t="n"/>
      <c r="C203" s="20" t="n"/>
      <c r="D203" s="20" t="n"/>
      <c r="E203" s="20" t="n"/>
      <c r="F203" s="20" t="n"/>
      <c r="G203" s="2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5.75" customHeight="1" s="42">
      <c r="A204" s="4" t="n"/>
      <c r="B204" s="20" t="n"/>
      <c r="C204" s="20" t="n"/>
      <c r="D204" s="20" t="n"/>
      <c r="E204" s="20" t="n"/>
      <c r="F204" s="20" t="n"/>
      <c r="G204" s="2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5.75" customHeight="1" s="42">
      <c r="A205" s="4" t="n"/>
      <c r="B205" s="20" t="n"/>
      <c r="C205" s="20" t="n"/>
      <c r="D205" s="20" t="n"/>
      <c r="E205" s="20" t="n"/>
      <c r="F205" s="20" t="n"/>
      <c r="G205" s="2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5.75" customHeight="1" s="42">
      <c r="A206" s="4" t="n"/>
      <c r="B206" s="20" t="n"/>
      <c r="C206" s="20" t="n"/>
      <c r="D206" s="20" t="n"/>
      <c r="E206" s="20" t="n"/>
      <c r="F206" s="20" t="n"/>
      <c r="G206" s="2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5.75" customHeight="1" s="42">
      <c r="A207" s="4" t="n"/>
      <c r="B207" s="20" t="n"/>
      <c r="C207" s="20" t="n"/>
      <c r="D207" s="20" t="n"/>
      <c r="E207" s="20" t="n"/>
      <c r="F207" s="20" t="n"/>
      <c r="G207" s="2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5.75" customHeight="1" s="42">
      <c r="A208" s="4" t="n"/>
      <c r="B208" s="20" t="n"/>
      <c r="C208" s="20" t="n"/>
      <c r="D208" s="20" t="n"/>
      <c r="E208" s="20" t="n"/>
      <c r="F208" s="20" t="n"/>
      <c r="G208" s="2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5.75" customHeight="1" s="42">
      <c r="A209" s="4" t="n"/>
      <c r="B209" s="20" t="n"/>
      <c r="C209" s="20" t="n"/>
      <c r="D209" s="20" t="n"/>
      <c r="E209" s="20" t="n"/>
      <c r="F209" s="20" t="n"/>
      <c r="G209" s="2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5.75" customHeight="1" s="42">
      <c r="A210" s="4" t="n"/>
      <c r="B210" s="20" t="n"/>
      <c r="C210" s="20" t="n"/>
      <c r="D210" s="20" t="n"/>
      <c r="E210" s="20" t="n"/>
      <c r="F210" s="20" t="n"/>
      <c r="G210" s="2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5.75" customHeight="1" s="42">
      <c r="A211" s="4" t="n"/>
      <c r="B211" s="20" t="n"/>
      <c r="C211" s="20" t="n"/>
      <c r="D211" s="20" t="n"/>
      <c r="E211" s="20" t="n"/>
      <c r="F211" s="20" t="n"/>
      <c r="G211" s="2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5.75" customHeight="1" s="42">
      <c r="A212" s="4" t="n"/>
      <c r="B212" s="20" t="n"/>
      <c r="C212" s="20" t="n"/>
      <c r="D212" s="20" t="n"/>
      <c r="E212" s="20" t="n"/>
      <c r="F212" s="20" t="n"/>
      <c r="G212" s="2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5.75" customHeight="1" s="42">
      <c r="A213" s="4" t="n"/>
      <c r="B213" s="20" t="n"/>
      <c r="C213" s="20" t="n"/>
      <c r="D213" s="20" t="n"/>
      <c r="E213" s="20" t="n"/>
      <c r="F213" s="20" t="n"/>
      <c r="G213" s="2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5.75" customHeight="1" s="42">
      <c r="A214" s="4" t="n"/>
      <c r="B214" s="20" t="n"/>
      <c r="C214" s="20" t="n"/>
      <c r="D214" s="20" t="n"/>
      <c r="E214" s="20" t="n"/>
      <c r="F214" s="20" t="n"/>
      <c r="G214" s="2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42">
      <c r="A215" s="4" t="n"/>
      <c r="B215" s="20" t="n"/>
      <c r="C215" s="20" t="n"/>
      <c r="D215" s="20" t="n"/>
      <c r="E215" s="20" t="n"/>
      <c r="F215" s="20" t="n"/>
      <c r="G215" s="2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5.75" customHeight="1" s="42">
      <c r="A216" s="4" t="n"/>
      <c r="B216" s="20" t="n"/>
      <c r="C216" s="20" t="n"/>
      <c r="D216" s="20" t="n"/>
      <c r="E216" s="20" t="n"/>
      <c r="F216" s="20" t="n"/>
      <c r="G216" s="2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5.75" customHeight="1" s="42">
      <c r="A217" s="4" t="n"/>
      <c r="B217" s="20" t="n"/>
      <c r="C217" s="20" t="n"/>
      <c r="D217" s="20" t="n"/>
      <c r="E217" s="20" t="n"/>
      <c r="F217" s="20" t="n"/>
      <c r="G217" s="2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5.75" customHeight="1" s="42">
      <c r="A218" s="4" t="n"/>
      <c r="B218" s="20" t="n"/>
      <c r="C218" s="20" t="n"/>
      <c r="D218" s="20" t="n"/>
      <c r="E218" s="20" t="n"/>
      <c r="F218" s="20" t="n"/>
      <c r="G218" s="2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5.75" customHeight="1" s="42">
      <c r="A219" s="4" t="n"/>
      <c r="B219" s="20" t="n"/>
      <c r="C219" s="20" t="n"/>
      <c r="D219" s="20" t="n"/>
      <c r="E219" s="20" t="n"/>
      <c r="F219" s="20" t="n"/>
      <c r="G219" s="2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5.75" customHeight="1" s="42">
      <c r="A220" s="4" t="n"/>
      <c r="B220" s="20" t="n"/>
      <c r="C220" s="20" t="n"/>
      <c r="D220" s="20" t="n"/>
      <c r="E220" s="20" t="n"/>
      <c r="F220" s="20" t="n"/>
      <c r="G220" s="2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4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5.75" customHeight="1" s="4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5.75" customHeight="1" s="4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5.75" customHeight="1" s="4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5.75" customHeight="1" s="4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3"/>
    <col width="8.710000000000001" customWidth="1" style="42" min="4" max="26"/>
  </cols>
  <sheetData>
    <row r="1" ht="17.25" customHeight="1" s="42">
      <c r="A1" s="1" t="inlineStr">
        <is>
          <t>Calcul du WACC</t>
        </is>
      </c>
      <c r="B1" s="2" t="n"/>
      <c r="C1" s="3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3" customHeight="1" s="42">
      <c r="A2" s="5" t="inlineStr">
        <is>
          <t>Approche CAPM et structure de capital de marche</t>
        </is>
      </c>
      <c r="B2" s="2" t="n"/>
      <c r="C2" s="3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7.25" customHeight="1" s="42">
      <c r="A3" s="6" t="n"/>
      <c r="B3" s="7" t="n"/>
      <c r="C3" s="6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7.25" customHeight="1" s="42">
      <c r="A4" s="3" t="inlineStr">
        <is>
          <t>Input</t>
        </is>
      </c>
      <c r="B4" s="2" t="inlineStr">
        <is>
          <t>Valeur</t>
        </is>
      </c>
      <c r="C4" s="3" t="inlineStr">
        <is>
          <t>Unite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7.25" customHeight="1" s="42">
      <c r="A5" s="3" t="inlineStr">
        <is>
          <t>Cours Michelin</t>
        </is>
      </c>
      <c r="B5" s="17" t="n">
        <v>32.24</v>
      </c>
      <c r="C5" s="3" t="inlineStr">
        <is>
          <t>EUR/action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7.25" customHeight="1" s="42">
      <c r="A6" s="3" t="inlineStr">
        <is>
          <t>Actions en circulation</t>
        </is>
      </c>
      <c r="B6" s="17" t="n">
        <v>684.74</v>
      </c>
      <c r="C6" s="3" t="inlineStr">
        <is>
          <t>m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7.25" customHeight="1" s="42">
      <c r="A7" s="3" t="inlineStr">
        <is>
          <t>Capitalisation boursiere</t>
        </is>
      </c>
      <c r="B7" s="17">
        <f>B5*B6</f>
        <v/>
      </c>
      <c r="C7" s="3" t="inlineStr">
        <is>
          <t>EURm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7.25" customHeight="1" s="42">
      <c r="A8" s="3" t="inlineStr">
        <is>
          <t>Dette nette</t>
        </is>
      </c>
      <c r="B8" s="17">
        <f>Historical!G18</f>
        <v/>
      </c>
      <c r="C8" s="3" t="inlineStr">
        <is>
          <t>EURm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7.25" customHeight="1" s="42">
      <c r="A9" s="3" t="inlineStr">
        <is>
          <t>Enterprise value de marche</t>
        </is>
      </c>
      <c r="B9" s="17">
        <f>B7+B8</f>
        <v/>
      </c>
      <c r="C9" s="3" t="inlineStr">
        <is>
          <t>EURm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7.25" customHeight="1" s="42">
      <c r="A10" s="3" t="inlineStr">
        <is>
          <t>Taux sans risque France 10 ans</t>
        </is>
      </c>
      <c r="B10" s="15" t="n">
        <v>0.0368</v>
      </c>
      <c r="C10" s="3" t="inlineStr">
        <is>
          <t>%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7.25" customHeight="1" s="42">
      <c r="A11" s="3" t="inlineStr">
        <is>
          <t>Prime de risque actions Eurozone</t>
        </is>
      </c>
      <c r="B11" s="15" t="n">
        <v>0.0575</v>
      </c>
      <c r="C11" s="3" t="inlineStr">
        <is>
          <t>%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7.25" customHeight="1" s="42">
      <c r="A12" s="3" t="inlineStr">
        <is>
          <t>Beta Michelin</t>
        </is>
      </c>
      <c r="B12" s="8" t="n">
        <v>1</v>
      </c>
      <c r="C12" s="3" t="inlineStr">
        <is>
          <t>x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7.25" customHeight="1" s="42">
      <c r="A13" s="3" t="inlineStr">
        <is>
          <t>Cout des fonds propres</t>
        </is>
      </c>
      <c r="B13" s="15">
        <f>B10+(B12*B11)</f>
        <v/>
      </c>
      <c r="C13" s="3" t="inlineStr">
        <is>
          <t>%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7.25" customHeight="1" s="42">
      <c r="A14" s="3" t="inlineStr">
        <is>
          <t>Cout de la dette avant impots</t>
        </is>
      </c>
      <c r="B14" s="15" t="n">
        <v>0.038</v>
      </c>
      <c r="C14" s="3" t="inlineStr">
        <is>
          <t>%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7.25" customHeight="1" s="42">
      <c r="A15" s="3" t="inlineStr">
        <is>
          <t>Taux d'impot effectif</t>
        </is>
      </c>
      <c r="B15" s="15" t="n">
        <v>0.2629317622491242</v>
      </c>
      <c r="C15" s="3" t="inlineStr">
        <is>
          <t>%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7.25" customHeight="1" s="42">
      <c r="A16" s="3" t="inlineStr">
        <is>
          <t>Cout de la dette apres impots</t>
        </is>
      </c>
      <c r="B16" s="15">
        <f>B14*(1-B15)</f>
        <v/>
      </c>
      <c r="C16" s="3" t="inlineStr">
        <is>
          <t>%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7.25" customHeight="1" s="42">
      <c r="A17" s="3" t="inlineStr">
        <is>
          <t>Poids fonds propres</t>
        </is>
      </c>
      <c r="B17" s="15">
        <f>B7/B9</f>
        <v/>
      </c>
      <c r="C17" s="3" t="inlineStr">
        <is>
          <t>%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7.25" customHeight="1" s="42">
      <c r="A18" s="3" t="inlineStr">
        <is>
          <t>Poids dette nette</t>
        </is>
      </c>
      <c r="B18" s="15">
        <f>B8/B9</f>
        <v/>
      </c>
      <c r="C18" s="3" t="inlineStr">
        <is>
          <t>%</t>
        </is>
      </c>
      <c r="D18" s="4" t="n"/>
      <c r="E18" s="4" t="n"/>
      <c r="F18" s="4" t="n"/>
      <c r="G18" s="4" t="n"/>
      <c r="H18" s="4" t="inlineStr">
        <is>
          <t>.</t>
        </is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7.25" customHeight="1" s="42">
      <c r="A19" s="3" t="inlineStr">
        <is>
          <t>WACC retenu</t>
        </is>
      </c>
      <c r="B19" s="15">
        <f>(B13*B17)+(B16*B18)</f>
        <v/>
      </c>
      <c r="C19" s="3" t="inlineStr">
        <is>
          <t>%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7.25" customHeight="1" s="42">
      <c r="A20" s="3" t="inlineStr">
        <is>
          <t>Croissance terminale</t>
        </is>
      </c>
      <c r="B20" s="8" t="n">
        <v>0.015</v>
      </c>
      <c r="C20" s="3" t="inlineStr">
        <is>
          <t>%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2">
      <c r="A21" s="4" t="n"/>
      <c r="B21" s="20" t="n"/>
      <c r="C21" s="4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5.75" customHeight="1" s="42">
      <c r="A22" s="4" t="n"/>
      <c r="B22" s="20" t="n"/>
      <c r="C22" s="4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5.75" customHeight="1" s="42">
      <c r="A23" s="4" t="n"/>
      <c r="B23" s="20" t="n"/>
      <c r="C23" s="4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5.75" customHeight="1" s="42">
      <c r="A24" s="4" t="n"/>
      <c r="B24" s="20" t="n"/>
      <c r="C24" s="4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5.75" customHeight="1" s="42">
      <c r="A25" s="4" t="n"/>
      <c r="B25" s="20" t="n"/>
      <c r="C25" s="4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5.75" customHeight="1" s="42">
      <c r="A26" s="4" t="n"/>
      <c r="B26" s="20" t="n"/>
      <c r="C26" s="4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5.75" customHeight="1" s="42">
      <c r="A27" s="4" t="n"/>
      <c r="B27" s="20" t="n"/>
      <c r="C27" s="4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5.75" customHeight="1" s="42">
      <c r="A28" s="4" t="n"/>
      <c r="B28" s="20" t="n"/>
      <c r="C28" s="4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5.75" customHeight="1" s="42">
      <c r="A29" s="4" t="n"/>
      <c r="B29" s="20" t="n"/>
      <c r="C29" s="4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5.75" customHeight="1" s="42">
      <c r="A30" s="4" t="n"/>
      <c r="B30" s="20" t="n"/>
      <c r="C30" s="4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5.75" customHeight="1" s="42">
      <c r="A31" s="4" t="n"/>
      <c r="B31" s="20" t="n"/>
      <c r="C31" s="4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5.75" customHeight="1" s="42">
      <c r="A32" s="4" t="n"/>
      <c r="B32" s="20" t="n"/>
      <c r="C32" s="4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5.75" customHeight="1" s="42">
      <c r="A33" s="4" t="n"/>
      <c r="B33" s="20" t="n"/>
      <c r="C33" s="4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5.75" customHeight="1" s="42">
      <c r="A34" s="4" t="n"/>
      <c r="B34" s="20" t="n"/>
      <c r="C34" s="4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5.75" customHeight="1" s="42">
      <c r="A35" s="4" t="n"/>
      <c r="B35" s="20" t="n"/>
      <c r="C35" s="4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5.75" customHeight="1" s="42">
      <c r="A36" s="4" t="n"/>
      <c r="B36" s="20" t="n"/>
      <c r="C36" s="4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5.75" customHeight="1" s="42">
      <c r="A37" s="4" t="n"/>
      <c r="B37" s="20" t="n"/>
      <c r="C37" s="4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5.75" customHeight="1" s="42">
      <c r="A38" s="4" t="n"/>
      <c r="B38" s="20" t="n"/>
      <c r="C38" s="4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5.75" customHeight="1" s="42">
      <c r="A39" s="4" t="n"/>
      <c r="B39" s="20" t="n"/>
      <c r="C39" s="4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5.75" customHeight="1" s="42">
      <c r="A40" s="4" t="n"/>
      <c r="B40" s="20" t="n"/>
      <c r="C40" s="4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5.75" customHeight="1" s="42">
      <c r="A41" s="4" t="n"/>
      <c r="B41" s="20" t="n"/>
      <c r="C41" s="4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5.75" customHeight="1" s="42">
      <c r="A42" s="4" t="n"/>
      <c r="B42" s="20" t="n"/>
      <c r="C42" s="4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5.75" customHeight="1" s="42">
      <c r="A43" s="4" t="n"/>
      <c r="B43" s="20" t="n"/>
      <c r="C43" s="4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5.75" customHeight="1" s="42">
      <c r="A44" s="4" t="n"/>
      <c r="B44" s="20" t="n"/>
      <c r="C44" s="4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5.75" customHeight="1" s="42">
      <c r="A45" s="4" t="n"/>
      <c r="B45" s="20" t="n"/>
      <c r="C45" s="4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5.75" customHeight="1" s="42">
      <c r="A46" s="4" t="n"/>
      <c r="B46" s="20" t="n"/>
      <c r="C46" s="4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5.75" customHeight="1" s="42">
      <c r="A47" s="4" t="n"/>
      <c r="B47" s="20" t="n"/>
      <c r="C47" s="4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5.75" customHeight="1" s="42">
      <c r="A48" s="4" t="n"/>
      <c r="B48" s="20" t="n"/>
      <c r="C48" s="4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5.75" customHeight="1" s="42">
      <c r="A49" s="4" t="n"/>
      <c r="B49" s="20" t="n"/>
      <c r="C49" s="4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5.75" customHeight="1" s="42">
      <c r="A50" s="4" t="n"/>
      <c r="B50" s="20" t="n"/>
      <c r="C50" s="4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5.75" customHeight="1" s="42">
      <c r="A51" s="4" t="n"/>
      <c r="B51" s="20" t="n"/>
      <c r="C51" s="4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5.75" customHeight="1" s="42">
      <c r="A52" s="4" t="n"/>
      <c r="B52" s="20" t="n"/>
      <c r="C52" s="4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5.75" customHeight="1" s="42">
      <c r="A53" s="4" t="n"/>
      <c r="B53" s="20" t="n"/>
      <c r="C53" s="4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5.75" customHeight="1" s="42">
      <c r="A54" s="4" t="n"/>
      <c r="B54" s="20" t="n"/>
      <c r="C54" s="4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5.75" customHeight="1" s="42">
      <c r="A55" s="4" t="n"/>
      <c r="B55" s="20" t="n"/>
      <c r="C55" s="4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5.75" customHeight="1" s="42">
      <c r="A56" s="4" t="n"/>
      <c r="B56" s="20" t="n"/>
      <c r="C56" s="4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5.75" customHeight="1" s="42">
      <c r="A57" s="4" t="n"/>
      <c r="B57" s="20" t="n"/>
      <c r="C57" s="4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5.75" customHeight="1" s="42">
      <c r="A58" s="4" t="n"/>
      <c r="B58" s="20" t="n"/>
      <c r="C58" s="4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5.75" customHeight="1" s="42">
      <c r="A59" s="4" t="n"/>
      <c r="B59" s="20" t="n"/>
      <c r="C59" s="4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5.75" customHeight="1" s="42">
      <c r="A60" s="4" t="n"/>
      <c r="B60" s="20" t="n"/>
      <c r="C60" s="4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5.75" customHeight="1" s="42">
      <c r="A61" s="4" t="n"/>
      <c r="B61" s="20" t="n"/>
      <c r="C61" s="4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5.75" customHeight="1" s="42">
      <c r="A62" s="4" t="n"/>
      <c r="B62" s="20" t="n"/>
      <c r="C62" s="4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5.75" customHeight="1" s="42">
      <c r="A63" s="4" t="n"/>
      <c r="B63" s="20" t="n"/>
      <c r="C63" s="4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5.75" customHeight="1" s="42">
      <c r="A64" s="4" t="n"/>
      <c r="B64" s="20" t="n"/>
      <c r="C64" s="4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5.75" customHeight="1" s="42">
      <c r="A65" s="4" t="n"/>
      <c r="B65" s="20" t="n"/>
      <c r="C65" s="4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5.75" customHeight="1" s="42">
      <c r="A66" s="4" t="n"/>
      <c r="B66" s="20" t="n"/>
      <c r="C66" s="4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5.75" customHeight="1" s="42">
      <c r="A67" s="4" t="n"/>
      <c r="B67" s="20" t="n"/>
      <c r="C67" s="4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5.75" customHeight="1" s="42">
      <c r="A68" s="4" t="n"/>
      <c r="B68" s="20" t="n"/>
      <c r="C68" s="4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5.75" customHeight="1" s="42">
      <c r="A69" s="4" t="n"/>
      <c r="B69" s="20" t="n"/>
      <c r="C69" s="4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5.75" customHeight="1" s="42">
      <c r="A70" s="4" t="n"/>
      <c r="B70" s="20" t="n"/>
      <c r="C70" s="4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5.75" customHeight="1" s="42">
      <c r="A71" s="4" t="n"/>
      <c r="B71" s="20" t="n"/>
      <c r="C71" s="4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5.75" customHeight="1" s="42">
      <c r="A72" s="4" t="n"/>
      <c r="B72" s="20" t="n"/>
      <c r="C72" s="4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5.75" customHeight="1" s="42">
      <c r="A73" s="4" t="n"/>
      <c r="B73" s="20" t="n"/>
      <c r="C73" s="4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5.75" customHeight="1" s="42">
      <c r="A74" s="4" t="n"/>
      <c r="B74" s="20" t="n"/>
      <c r="C74" s="4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5.75" customHeight="1" s="42">
      <c r="A75" s="4" t="n"/>
      <c r="B75" s="20" t="n"/>
      <c r="C75" s="4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5.75" customHeight="1" s="42">
      <c r="A76" s="4" t="n"/>
      <c r="B76" s="20" t="n"/>
      <c r="C76" s="4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5.75" customHeight="1" s="42">
      <c r="A77" s="4" t="n"/>
      <c r="B77" s="20" t="n"/>
      <c r="C77" s="4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5.75" customHeight="1" s="42">
      <c r="A78" s="4" t="n"/>
      <c r="B78" s="20" t="n"/>
      <c r="C78" s="4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5.75" customHeight="1" s="42">
      <c r="A79" s="4" t="n"/>
      <c r="B79" s="20" t="n"/>
      <c r="C79" s="4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5.75" customHeight="1" s="42">
      <c r="A80" s="4" t="n"/>
      <c r="B80" s="20" t="n"/>
      <c r="C80" s="4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5.75" customHeight="1" s="42">
      <c r="A81" s="4" t="n"/>
      <c r="B81" s="20" t="n"/>
      <c r="C81" s="4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5.75" customHeight="1" s="42">
      <c r="A82" s="4" t="n"/>
      <c r="B82" s="20" t="n"/>
      <c r="C82" s="4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5.75" customHeight="1" s="42">
      <c r="A83" s="4" t="n"/>
      <c r="B83" s="20" t="n"/>
      <c r="C83" s="4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5.75" customHeight="1" s="42">
      <c r="A84" s="4" t="n"/>
      <c r="B84" s="20" t="n"/>
      <c r="C84" s="4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5.75" customHeight="1" s="42">
      <c r="A85" s="4" t="n"/>
      <c r="B85" s="20" t="n"/>
      <c r="C85" s="4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5.75" customHeight="1" s="42">
      <c r="A86" s="4" t="n"/>
      <c r="B86" s="20" t="n"/>
      <c r="C86" s="4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5.75" customHeight="1" s="42">
      <c r="A87" s="4" t="n"/>
      <c r="B87" s="20" t="n"/>
      <c r="C87" s="4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5.75" customHeight="1" s="42">
      <c r="A88" s="4" t="n"/>
      <c r="B88" s="20" t="n"/>
      <c r="C88" s="4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5.75" customHeight="1" s="42">
      <c r="A89" s="4" t="n"/>
      <c r="B89" s="20" t="n"/>
      <c r="C89" s="4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5.75" customHeight="1" s="42">
      <c r="A90" s="4" t="n"/>
      <c r="B90" s="20" t="n"/>
      <c r="C90" s="4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5.75" customHeight="1" s="42">
      <c r="A91" s="4" t="n"/>
      <c r="B91" s="20" t="n"/>
      <c r="C91" s="4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5.75" customHeight="1" s="42">
      <c r="A92" s="4" t="n"/>
      <c r="B92" s="20" t="n"/>
      <c r="C92" s="4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5.75" customHeight="1" s="42">
      <c r="A93" s="4" t="n"/>
      <c r="B93" s="20" t="n"/>
      <c r="C93" s="4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5.75" customHeight="1" s="42">
      <c r="A94" s="4" t="n"/>
      <c r="B94" s="20" t="n"/>
      <c r="C94" s="4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5.75" customHeight="1" s="42">
      <c r="A95" s="4" t="n"/>
      <c r="B95" s="20" t="n"/>
      <c r="C95" s="4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5.75" customHeight="1" s="42">
      <c r="A96" s="4" t="n"/>
      <c r="B96" s="20" t="n"/>
      <c r="C96" s="4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5.75" customHeight="1" s="42">
      <c r="A97" s="4" t="n"/>
      <c r="B97" s="20" t="n"/>
      <c r="C97" s="4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5.75" customHeight="1" s="42">
      <c r="A98" s="4" t="n"/>
      <c r="B98" s="20" t="n"/>
      <c r="C98" s="4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5.75" customHeight="1" s="42">
      <c r="A99" s="4" t="n"/>
      <c r="B99" s="20" t="n"/>
      <c r="C99" s="4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5.75" customHeight="1" s="42">
      <c r="A100" s="4" t="n"/>
      <c r="B100" s="20" t="n"/>
      <c r="C100" s="4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5.75" customHeight="1" s="42">
      <c r="A101" s="4" t="n"/>
      <c r="B101" s="20" t="n"/>
      <c r="C101" s="4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5.75" customHeight="1" s="42">
      <c r="A102" s="4" t="n"/>
      <c r="B102" s="20" t="n"/>
      <c r="C102" s="4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5.75" customHeight="1" s="42">
      <c r="A103" s="4" t="n"/>
      <c r="B103" s="20" t="n"/>
      <c r="C103" s="4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5.75" customHeight="1" s="42">
      <c r="A104" s="4" t="n"/>
      <c r="B104" s="20" t="n"/>
      <c r="C104" s="4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5.75" customHeight="1" s="42">
      <c r="A105" s="4" t="n"/>
      <c r="B105" s="20" t="n"/>
      <c r="C105" s="4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5.75" customHeight="1" s="42">
      <c r="A106" s="4" t="n"/>
      <c r="B106" s="20" t="n"/>
      <c r="C106" s="4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5.75" customHeight="1" s="42">
      <c r="A107" s="4" t="n"/>
      <c r="B107" s="20" t="n"/>
      <c r="C107" s="4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5.75" customHeight="1" s="42">
      <c r="A108" s="4" t="n"/>
      <c r="B108" s="20" t="n"/>
      <c r="C108" s="4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5.75" customHeight="1" s="42">
      <c r="A109" s="4" t="n"/>
      <c r="B109" s="20" t="n"/>
      <c r="C109" s="4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5.75" customHeight="1" s="42">
      <c r="A110" s="4" t="n"/>
      <c r="B110" s="20" t="n"/>
      <c r="C110" s="4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5.75" customHeight="1" s="42">
      <c r="A111" s="4" t="n"/>
      <c r="B111" s="20" t="n"/>
      <c r="C111" s="4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5.75" customHeight="1" s="42">
      <c r="A112" s="4" t="n"/>
      <c r="B112" s="20" t="n"/>
      <c r="C112" s="4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5.75" customHeight="1" s="42">
      <c r="A113" s="4" t="n"/>
      <c r="B113" s="20" t="n"/>
      <c r="C113" s="4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5.75" customHeight="1" s="42">
      <c r="A114" s="4" t="n"/>
      <c r="B114" s="20" t="n"/>
      <c r="C114" s="4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5.75" customHeight="1" s="42">
      <c r="A115" s="4" t="n"/>
      <c r="B115" s="20" t="n"/>
      <c r="C115" s="4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5.75" customHeight="1" s="42">
      <c r="A116" s="4" t="n"/>
      <c r="B116" s="20" t="n"/>
      <c r="C116" s="4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5.75" customHeight="1" s="42">
      <c r="A117" s="4" t="n"/>
      <c r="B117" s="20" t="n"/>
      <c r="C117" s="4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5.75" customHeight="1" s="42">
      <c r="A118" s="4" t="n"/>
      <c r="B118" s="20" t="n"/>
      <c r="C118" s="4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5.75" customHeight="1" s="42">
      <c r="A119" s="4" t="n"/>
      <c r="B119" s="20" t="n"/>
      <c r="C119" s="4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5.75" customHeight="1" s="42">
      <c r="A120" s="4" t="n"/>
      <c r="B120" s="20" t="n"/>
      <c r="C120" s="4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5.75" customHeight="1" s="42">
      <c r="A121" s="4" t="n"/>
      <c r="B121" s="20" t="n"/>
      <c r="C121" s="4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5.75" customHeight="1" s="42">
      <c r="A122" s="4" t="n"/>
      <c r="B122" s="20" t="n"/>
      <c r="C122" s="4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5.75" customHeight="1" s="42">
      <c r="A123" s="4" t="n"/>
      <c r="B123" s="20" t="n"/>
      <c r="C123" s="4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5.75" customHeight="1" s="42">
      <c r="A124" s="4" t="n"/>
      <c r="B124" s="20" t="n"/>
      <c r="C124" s="4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5.75" customHeight="1" s="42">
      <c r="A125" s="4" t="n"/>
      <c r="B125" s="20" t="n"/>
      <c r="C125" s="4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5.75" customHeight="1" s="42">
      <c r="A126" s="4" t="n"/>
      <c r="B126" s="20" t="n"/>
      <c r="C126" s="4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5.75" customHeight="1" s="42">
      <c r="A127" s="4" t="n"/>
      <c r="B127" s="20" t="n"/>
      <c r="C127" s="4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5.75" customHeight="1" s="42">
      <c r="A128" s="4" t="n"/>
      <c r="B128" s="20" t="n"/>
      <c r="C128" s="4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5.75" customHeight="1" s="42">
      <c r="A129" s="4" t="n"/>
      <c r="B129" s="20" t="n"/>
      <c r="C129" s="4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5.75" customHeight="1" s="42">
      <c r="A130" s="4" t="n"/>
      <c r="B130" s="20" t="n"/>
      <c r="C130" s="4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42">
      <c r="A131" s="4" t="n"/>
      <c r="B131" s="20" t="n"/>
      <c r="C131" s="4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5.75" customHeight="1" s="42">
      <c r="A132" s="4" t="n"/>
      <c r="B132" s="20" t="n"/>
      <c r="C132" s="4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5.75" customHeight="1" s="42">
      <c r="A133" s="4" t="n"/>
      <c r="B133" s="20" t="n"/>
      <c r="C133" s="4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5.75" customHeight="1" s="42">
      <c r="A134" s="4" t="n"/>
      <c r="B134" s="20" t="n"/>
      <c r="C134" s="4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5.75" customHeight="1" s="42">
      <c r="A135" s="4" t="n"/>
      <c r="B135" s="20" t="n"/>
      <c r="C135" s="4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5.75" customHeight="1" s="42">
      <c r="A136" s="4" t="n"/>
      <c r="B136" s="20" t="n"/>
      <c r="C136" s="4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5.75" customHeight="1" s="42">
      <c r="A137" s="4" t="n"/>
      <c r="B137" s="20" t="n"/>
      <c r="C137" s="4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5.75" customHeight="1" s="42">
      <c r="A138" s="4" t="n"/>
      <c r="B138" s="20" t="n"/>
      <c r="C138" s="4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5.75" customHeight="1" s="42">
      <c r="A139" s="4" t="n"/>
      <c r="B139" s="20" t="n"/>
      <c r="C139" s="4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5.75" customHeight="1" s="42">
      <c r="A140" s="4" t="n"/>
      <c r="B140" s="20" t="n"/>
      <c r="C140" s="4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5.75" customHeight="1" s="42">
      <c r="A141" s="4" t="n"/>
      <c r="B141" s="20" t="n"/>
      <c r="C141" s="4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5.75" customHeight="1" s="42">
      <c r="A142" s="4" t="n"/>
      <c r="B142" s="20" t="n"/>
      <c r="C142" s="4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5.75" customHeight="1" s="42">
      <c r="A143" s="4" t="n"/>
      <c r="B143" s="20" t="n"/>
      <c r="C143" s="4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5.75" customHeight="1" s="42">
      <c r="A144" s="4" t="n"/>
      <c r="B144" s="20" t="n"/>
      <c r="C144" s="4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5.75" customHeight="1" s="42">
      <c r="A145" s="4" t="n"/>
      <c r="B145" s="20" t="n"/>
      <c r="C145" s="4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5.75" customHeight="1" s="42">
      <c r="A146" s="4" t="n"/>
      <c r="B146" s="20" t="n"/>
      <c r="C146" s="4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5.75" customHeight="1" s="42">
      <c r="A147" s="4" t="n"/>
      <c r="B147" s="20" t="n"/>
      <c r="C147" s="4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5.75" customHeight="1" s="42">
      <c r="A148" s="4" t="n"/>
      <c r="B148" s="20" t="n"/>
      <c r="C148" s="4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5.75" customHeight="1" s="42">
      <c r="A149" s="4" t="n"/>
      <c r="B149" s="20" t="n"/>
      <c r="C149" s="4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5.75" customHeight="1" s="42">
      <c r="A150" s="4" t="n"/>
      <c r="B150" s="20" t="n"/>
      <c r="C150" s="4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5.75" customHeight="1" s="42">
      <c r="A151" s="4" t="n"/>
      <c r="B151" s="20" t="n"/>
      <c r="C151" s="4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5.75" customHeight="1" s="42">
      <c r="A152" s="4" t="n"/>
      <c r="B152" s="20" t="n"/>
      <c r="C152" s="4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5.75" customHeight="1" s="42">
      <c r="A153" s="4" t="n"/>
      <c r="B153" s="20" t="n"/>
      <c r="C153" s="4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5.75" customHeight="1" s="42">
      <c r="A154" s="4" t="n"/>
      <c r="B154" s="20" t="n"/>
      <c r="C154" s="4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5.75" customHeight="1" s="42">
      <c r="A155" s="4" t="n"/>
      <c r="B155" s="20" t="n"/>
      <c r="C155" s="4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5.75" customHeight="1" s="42">
      <c r="A156" s="4" t="n"/>
      <c r="B156" s="20" t="n"/>
      <c r="C156" s="4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5.75" customHeight="1" s="42">
      <c r="A157" s="4" t="n"/>
      <c r="B157" s="20" t="n"/>
      <c r="C157" s="4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5.75" customHeight="1" s="42">
      <c r="A158" s="4" t="n"/>
      <c r="B158" s="20" t="n"/>
      <c r="C158" s="4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5.75" customHeight="1" s="42">
      <c r="A159" s="4" t="n"/>
      <c r="B159" s="20" t="n"/>
      <c r="C159" s="4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5.75" customHeight="1" s="42">
      <c r="A160" s="4" t="n"/>
      <c r="B160" s="20" t="n"/>
      <c r="C160" s="4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5.75" customHeight="1" s="42">
      <c r="A161" s="4" t="n"/>
      <c r="B161" s="20" t="n"/>
      <c r="C161" s="4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5.75" customHeight="1" s="42">
      <c r="A162" s="4" t="n"/>
      <c r="B162" s="20" t="n"/>
      <c r="C162" s="4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5.75" customHeight="1" s="42">
      <c r="A163" s="4" t="n"/>
      <c r="B163" s="20" t="n"/>
      <c r="C163" s="4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5.75" customHeight="1" s="42">
      <c r="A164" s="4" t="n"/>
      <c r="B164" s="20" t="n"/>
      <c r="C164" s="4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5.75" customHeight="1" s="42">
      <c r="A165" s="4" t="n"/>
      <c r="B165" s="20" t="n"/>
      <c r="C165" s="4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5.75" customHeight="1" s="42">
      <c r="A166" s="4" t="n"/>
      <c r="B166" s="20" t="n"/>
      <c r="C166" s="4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5.75" customHeight="1" s="42">
      <c r="A167" s="4" t="n"/>
      <c r="B167" s="20" t="n"/>
      <c r="C167" s="4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5.75" customHeight="1" s="42">
      <c r="A168" s="4" t="n"/>
      <c r="B168" s="20" t="n"/>
      <c r="C168" s="4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5.75" customHeight="1" s="42">
      <c r="A169" s="4" t="n"/>
      <c r="B169" s="20" t="n"/>
      <c r="C169" s="4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5.75" customHeight="1" s="42">
      <c r="A170" s="4" t="n"/>
      <c r="B170" s="20" t="n"/>
      <c r="C170" s="4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5.75" customHeight="1" s="42">
      <c r="A171" s="4" t="n"/>
      <c r="B171" s="20" t="n"/>
      <c r="C171" s="4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5.75" customHeight="1" s="42">
      <c r="A172" s="4" t="n"/>
      <c r="B172" s="20" t="n"/>
      <c r="C172" s="4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5.75" customHeight="1" s="42">
      <c r="A173" s="4" t="n"/>
      <c r="B173" s="20" t="n"/>
      <c r="C173" s="4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5.75" customHeight="1" s="42">
      <c r="A174" s="4" t="n"/>
      <c r="B174" s="20" t="n"/>
      <c r="C174" s="4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5.75" customHeight="1" s="42">
      <c r="A175" s="4" t="n"/>
      <c r="B175" s="20" t="n"/>
      <c r="C175" s="4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5.75" customHeight="1" s="42">
      <c r="A176" s="4" t="n"/>
      <c r="B176" s="20" t="n"/>
      <c r="C176" s="4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5.75" customHeight="1" s="42">
      <c r="A177" s="4" t="n"/>
      <c r="B177" s="20" t="n"/>
      <c r="C177" s="4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5.75" customHeight="1" s="42">
      <c r="A178" s="4" t="n"/>
      <c r="B178" s="20" t="n"/>
      <c r="C178" s="4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5.75" customHeight="1" s="42">
      <c r="A179" s="4" t="n"/>
      <c r="B179" s="20" t="n"/>
      <c r="C179" s="4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5.75" customHeight="1" s="42">
      <c r="A180" s="4" t="n"/>
      <c r="B180" s="20" t="n"/>
      <c r="C180" s="4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5.75" customHeight="1" s="42">
      <c r="A181" s="4" t="n"/>
      <c r="B181" s="20" t="n"/>
      <c r="C181" s="4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5.75" customHeight="1" s="42">
      <c r="A182" s="4" t="n"/>
      <c r="B182" s="20" t="n"/>
      <c r="C182" s="4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5.75" customHeight="1" s="42">
      <c r="A183" s="4" t="n"/>
      <c r="B183" s="20" t="n"/>
      <c r="C183" s="4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5.75" customHeight="1" s="42">
      <c r="A184" s="4" t="n"/>
      <c r="B184" s="20" t="n"/>
      <c r="C184" s="4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5.75" customHeight="1" s="42">
      <c r="A185" s="4" t="n"/>
      <c r="B185" s="20" t="n"/>
      <c r="C185" s="4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5.75" customHeight="1" s="42">
      <c r="A186" s="4" t="n"/>
      <c r="B186" s="20" t="n"/>
      <c r="C186" s="4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5.75" customHeight="1" s="42">
      <c r="A187" s="4" t="n"/>
      <c r="B187" s="20" t="n"/>
      <c r="C187" s="4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5.75" customHeight="1" s="42">
      <c r="A188" s="4" t="n"/>
      <c r="B188" s="20" t="n"/>
      <c r="C188" s="4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5.75" customHeight="1" s="42">
      <c r="A189" s="4" t="n"/>
      <c r="B189" s="20" t="n"/>
      <c r="C189" s="4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5.75" customHeight="1" s="42">
      <c r="A190" s="4" t="n"/>
      <c r="B190" s="20" t="n"/>
      <c r="C190" s="4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5.75" customHeight="1" s="42">
      <c r="A191" s="4" t="n"/>
      <c r="B191" s="20" t="n"/>
      <c r="C191" s="4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5.75" customHeight="1" s="42">
      <c r="A192" s="4" t="n"/>
      <c r="B192" s="20" t="n"/>
      <c r="C192" s="4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5.75" customHeight="1" s="42">
      <c r="A193" s="4" t="n"/>
      <c r="B193" s="20" t="n"/>
      <c r="C193" s="4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5.75" customHeight="1" s="42">
      <c r="A194" s="4" t="n"/>
      <c r="B194" s="20" t="n"/>
      <c r="C194" s="4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5.75" customHeight="1" s="42">
      <c r="A195" s="4" t="n"/>
      <c r="B195" s="20" t="n"/>
      <c r="C195" s="4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5.75" customHeight="1" s="42">
      <c r="A196" s="4" t="n"/>
      <c r="B196" s="20" t="n"/>
      <c r="C196" s="4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5.75" customHeight="1" s="42">
      <c r="A197" s="4" t="n"/>
      <c r="B197" s="20" t="n"/>
      <c r="C197" s="4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5.75" customHeight="1" s="42">
      <c r="A198" s="4" t="n"/>
      <c r="B198" s="20" t="n"/>
      <c r="C198" s="4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5.75" customHeight="1" s="42">
      <c r="A199" s="4" t="n"/>
      <c r="B199" s="20" t="n"/>
      <c r="C199" s="4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5.75" customHeight="1" s="42">
      <c r="A200" s="4" t="n"/>
      <c r="B200" s="20" t="n"/>
      <c r="C200" s="4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5.75" customHeight="1" s="42">
      <c r="A201" s="4" t="n"/>
      <c r="B201" s="20" t="n"/>
      <c r="C201" s="4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5.75" customHeight="1" s="42">
      <c r="A202" s="4" t="n"/>
      <c r="B202" s="20" t="n"/>
      <c r="C202" s="4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5.75" customHeight="1" s="42">
      <c r="A203" s="4" t="n"/>
      <c r="B203" s="20" t="n"/>
      <c r="C203" s="4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5.75" customHeight="1" s="42">
      <c r="A204" s="4" t="n"/>
      <c r="B204" s="20" t="n"/>
      <c r="C204" s="4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5.75" customHeight="1" s="42">
      <c r="A205" s="4" t="n"/>
      <c r="B205" s="20" t="n"/>
      <c r="C205" s="4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5.75" customHeight="1" s="42">
      <c r="A206" s="4" t="n"/>
      <c r="B206" s="20" t="n"/>
      <c r="C206" s="4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5.75" customHeight="1" s="42">
      <c r="A207" s="4" t="n"/>
      <c r="B207" s="20" t="n"/>
      <c r="C207" s="4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5.75" customHeight="1" s="42">
      <c r="A208" s="4" t="n"/>
      <c r="B208" s="20" t="n"/>
      <c r="C208" s="4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5.75" customHeight="1" s="42">
      <c r="A209" s="4" t="n"/>
      <c r="B209" s="20" t="n"/>
      <c r="C209" s="4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5.75" customHeight="1" s="42">
      <c r="A210" s="4" t="n"/>
      <c r="B210" s="20" t="n"/>
      <c r="C210" s="4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5.75" customHeight="1" s="42">
      <c r="A211" s="4" t="n"/>
      <c r="B211" s="20" t="n"/>
      <c r="C211" s="4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5.75" customHeight="1" s="42">
      <c r="A212" s="4" t="n"/>
      <c r="B212" s="20" t="n"/>
      <c r="C212" s="4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5.75" customHeight="1" s="42">
      <c r="A213" s="4" t="n"/>
      <c r="B213" s="20" t="n"/>
      <c r="C213" s="4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5.75" customHeight="1" s="42">
      <c r="A214" s="4" t="n"/>
      <c r="B214" s="20" t="n"/>
      <c r="C214" s="4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42">
      <c r="A215" s="4" t="n"/>
      <c r="B215" s="20" t="n"/>
      <c r="C215" s="4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5.75" customHeight="1" s="42">
      <c r="A216" s="4" t="n"/>
      <c r="B216" s="20" t="n"/>
      <c r="C216" s="4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5.75" customHeight="1" s="42">
      <c r="A217" s="4" t="n"/>
      <c r="B217" s="20" t="n"/>
      <c r="C217" s="4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5.75" customHeight="1" s="42">
      <c r="A218" s="4" t="n"/>
      <c r="B218" s="20" t="n"/>
      <c r="C218" s="4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5.75" customHeight="1" s="42">
      <c r="A219" s="4" t="n"/>
      <c r="B219" s="20" t="n"/>
      <c r="C219" s="4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5.75" customHeight="1" s="42">
      <c r="A220" s="4" t="n"/>
      <c r="B220" s="20" t="n"/>
      <c r="C220" s="4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4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5.75" customHeight="1" s="4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5.75" customHeight="1" s="4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5.75" customHeight="1" s="4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5.75" customHeight="1" s="4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42" min="1" max="1"/>
    <col width="16" customWidth="1" style="42" min="2" max="6"/>
    <col width="8.710000000000001" customWidth="1" style="42" min="7" max="26"/>
  </cols>
  <sheetData>
    <row r="1" ht="17.25" customHeight="1" s="42">
      <c r="A1" s="1" t="inlineStr">
        <is>
          <t>Valorisation DCF</t>
        </is>
      </c>
      <c r="B1" s="21" t="n"/>
      <c r="C1" s="11" t="n"/>
      <c r="D1" s="11" t="n"/>
      <c r="E1" s="11" t="n"/>
      <c r="F1" s="1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7.25" customHeight="1" s="42">
      <c r="A2" s="5" t="inlineStr">
        <is>
          <t>FCFF 2026E-2030E + valeur terminale par croissance perpetuelle</t>
        </is>
      </c>
      <c r="B2" s="21" t="n"/>
      <c r="C2" s="11" t="n"/>
      <c r="D2" s="11" t="n"/>
      <c r="E2" s="11" t="n"/>
      <c r="F2" s="11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7.25" customHeight="1" s="42">
      <c r="A3" s="6" t="n"/>
      <c r="B3" s="6" t="inlineStr">
        <is>
          <t>2026E</t>
        </is>
      </c>
      <c r="C3" s="12" t="inlineStr">
        <is>
          <t>2027E</t>
        </is>
      </c>
      <c r="D3" s="12" t="inlineStr">
        <is>
          <t>2028E</t>
        </is>
      </c>
      <c r="E3" s="12" t="inlineStr">
        <is>
          <t>2029E</t>
        </is>
      </c>
      <c r="F3" s="12" t="inlineStr">
        <is>
          <t>2030E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7.25" customHeight="1" s="42">
      <c r="A4" s="13" t="inlineStr">
        <is>
          <t>Chiffre d'affaires</t>
        </is>
      </c>
      <c r="B4" s="14">
        <f>Forecast!B4</f>
        <v/>
      </c>
      <c r="C4" s="14">
        <f>Forecast!C4</f>
        <v/>
      </c>
      <c r="D4" s="14">
        <f>Forecast!D4</f>
        <v/>
      </c>
      <c r="E4" s="14">
        <f>Forecast!E4</f>
        <v/>
      </c>
      <c r="F4" s="14">
        <f>Forecast!F4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7.25" customHeight="1" s="42">
      <c r="A5" s="13" t="inlineStr">
        <is>
          <t>EBIT secteurs</t>
        </is>
      </c>
      <c r="B5" s="14">
        <f>Forecast!B9</f>
        <v/>
      </c>
      <c r="C5" s="14">
        <f>Forecast!C9</f>
        <v/>
      </c>
      <c r="D5" s="14">
        <f>Forecast!D9</f>
        <v/>
      </c>
      <c r="E5" s="14">
        <f>Forecast!E9</f>
        <v/>
      </c>
      <c r="F5" s="14">
        <f>Forecast!F9</f>
        <v/>
      </c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7.25" customHeight="1" s="42">
      <c r="A6" s="13" t="inlineStr">
        <is>
          <t>NOPAT</t>
        </is>
      </c>
      <c r="B6" s="14">
        <f>Forecast!B11</f>
        <v/>
      </c>
      <c r="C6" s="14">
        <f>Forecast!C11</f>
        <v/>
      </c>
      <c r="D6" s="14">
        <f>Forecast!D11</f>
        <v/>
      </c>
      <c r="E6" s="14">
        <f>Forecast!E11</f>
        <v/>
      </c>
      <c r="F6" s="14">
        <f>Forecast!F11</f>
        <v/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7.25" customHeight="1" s="42">
      <c r="A7" s="13" t="inlineStr">
        <is>
          <t>D&amp;A</t>
        </is>
      </c>
      <c r="B7" s="14">
        <f>Forecast!B13</f>
        <v/>
      </c>
      <c r="C7" s="14">
        <f>Forecast!C13</f>
        <v/>
      </c>
      <c r="D7" s="14">
        <f>Forecast!D13</f>
        <v/>
      </c>
      <c r="E7" s="14">
        <f>Forecast!E13</f>
        <v/>
      </c>
      <c r="F7" s="14">
        <f>Forecast!F13</f>
        <v/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7.25" customHeight="1" s="42">
      <c r="A8" s="13" t="inlineStr">
        <is>
          <t>Capex</t>
        </is>
      </c>
      <c r="B8" s="14">
        <f>Forecast!B15</f>
        <v/>
      </c>
      <c r="C8" s="14">
        <f>Forecast!C15</f>
        <v/>
      </c>
      <c r="D8" s="14">
        <f>Forecast!D15</f>
        <v/>
      </c>
      <c r="E8" s="14">
        <f>Forecast!E15</f>
        <v/>
      </c>
      <c r="F8" s="14">
        <f>Forecast!F15</f>
        <v/>
      </c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7.25" customHeight="1" s="42">
      <c r="A9" s="13" t="inlineStr">
        <is>
          <t>Variation BFR</t>
        </is>
      </c>
      <c r="B9" s="14">
        <f>Forecast!B16</f>
        <v/>
      </c>
      <c r="C9" s="14">
        <f>Forecast!C16</f>
        <v/>
      </c>
      <c r="D9" s="14">
        <f>Forecast!D16</f>
        <v/>
      </c>
      <c r="E9" s="14">
        <f>Forecast!E16</f>
        <v/>
      </c>
      <c r="F9" s="14">
        <f>Forecast!F16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7.25" customHeight="1" s="42">
      <c r="A10" s="13" t="inlineStr">
        <is>
          <t>FCFF</t>
        </is>
      </c>
      <c r="B10" s="14">
        <f>Forecast!B17</f>
        <v/>
      </c>
      <c r="C10" s="14">
        <f>Forecast!C17</f>
        <v/>
      </c>
      <c r="D10" s="14">
        <f>Forecast!D17</f>
        <v/>
      </c>
      <c r="E10" s="14">
        <f>Forecast!E17</f>
        <v/>
      </c>
      <c r="F10" s="14">
        <f>Forecast!F17</f>
        <v/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7.25" customHeight="1" s="42">
      <c r="A11" s="13" t="inlineStr">
        <is>
          <t>Facteur d'actualisation</t>
        </is>
      </c>
      <c r="B11" s="22">
        <f>(1+WACC!$B$19)^-(COLUMN()-1)</f>
        <v/>
      </c>
      <c r="C11" s="22">
        <f>(1+WACC!$B$19)^-(COLUMN()-1)</f>
        <v/>
      </c>
      <c r="D11" s="22">
        <f>(1+WACC!$B$19)^-(COLUMN()-1)</f>
        <v/>
      </c>
      <c r="E11" s="22">
        <f>(1+WACC!$B$19)^-(COLUMN()-1)</f>
        <v/>
      </c>
      <c r="F11" s="22">
        <f>(1+WACC!$B$19)^-(COLUMN()-1)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7.25" customHeight="1" s="42">
      <c r="A12" s="13" t="inlineStr">
        <is>
          <t>PV FCFF</t>
        </is>
      </c>
      <c r="B12" s="14">
        <f>B10*B11</f>
        <v/>
      </c>
      <c r="C12" s="14">
        <f>C10*C11</f>
        <v/>
      </c>
      <c r="D12" s="14">
        <f>D10*D11</f>
        <v/>
      </c>
      <c r="E12" s="14">
        <f>E10*E11</f>
        <v/>
      </c>
      <c r="F12" s="14">
        <f>F10*F11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7.25" customHeight="1" s="42">
      <c r="A13" s="3" t="n"/>
      <c r="B13" s="21" t="n"/>
      <c r="C13" s="11" t="n"/>
      <c r="D13" s="11" t="n"/>
      <c r="E13" s="11" t="n"/>
      <c r="F13" s="11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7.25" customHeight="1" s="42">
      <c r="A14" s="3" t="n"/>
      <c r="B14" s="21" t="n"/>
      <c r="C14" s="11" t="n"/>
      <c r="D14" s="11" t="n"/>
      <c r="E14" s="11" t="n"/>
      <c r="F14" s="11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7.25" customHeight="1" s="42">
      <c r="A15" s="6" t="inlineStr">
        <is>
          <t>Synthese</t>
        </is>
      </c>
      <c r="B15" s="21" t="n"/>
      <c r="C15" s="11" t="n"/>
      <c r="D15" s="11" t="n"/>
      <c r="E15" s="11" t="n"/>
      <c r="F15" s="11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7.25" customHeight="1" s="42">
      <c r="A16" s="3" t="inlineStr">
        <is>
          <t>PV des FCFF explicites</t>
        </is>
      </c>
      <c r="B16" s="17">
        <f>SUM(B12:F12)</f>
        <v/>
      </c>
      <c r="C16" s="11" t="n"/>
      <c r="D16" s="11" t="n"/>
      <c r="E16" s="11" t="n"/>
      <c r="F16" s="11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7.25" customHeight="1" s="42">
      <c r="A17" s="3" t="inlineStr">
        <is>
          <t>Valeur terminale</t>
        </is>
      </c>
      <c r="B17" s="17">
        <f>F10*(1+WACC!$B$20)/(WACC!$B$19-WACC!$B$20)</f>
        <v/>
      </c>
      <c r="C17" s="11" t="n"/>
      <c r="D17" s="11" t="n"/>
      <c r="E17" s="11" t="n"/>
      <c r="F17" s="11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7.25" customHeight="1" s="42">
      <c r="A18" s="3" t="inlineStr">
        <is>
          <t>PV valeur terminale</t>
        </is>
      </c>
      <c r="B18" s="17">
        <f>B17*F11</f>
        <v/>
      </c>
      <c r="C18" s="11" t="n"/>
      <c r="D18" s="11" t="n"/>
      <c r="E18" s="11" t="n"/>
      <c r="F18" s="11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7.25" customHeight="1" s="42">
      <c r="A19" s="3" t="inlineStr">
        <is>
          <t>Enterprise value DCF</t>
        </is>
      </c>
      <c r="B19" s="17">
        <f>B16+B18</f>
        <v/>
      </c>
      <c r="C19" s="11" t="n"/>
      <c r="D19" s="11" t="n"/>
      <c r="E19" s="11" t="n"/>
      <c r="F19" s="11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7.25" customHeight="1" s="42">
      <c r="A20" s="3" t="inlineStr">
        <is>
          <t>Dette nette</t>
        </is>
      </c>
      <c r="B20" s="17">
        <f>WACC!B8</f>
        <v/>
      </c>
      <c r="C20" s="11" t="n"/>
      <c r="D20" s="11" t="n"/>
      <c r="E20" s="11" t="n"/>
      <c r="F20" s="11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7.25" customHeight="1" s="42">
      <c r="A21" s="3" t="inlineStr">
        <is>
          <t>Equity value DCF</t>
        </is>
      </c>
      <c r="B21" s="17">
        <f>B19-B20</f>
        <v/>
      </c>
      <c r="C21" s="11" t="n"/>
      <c r="D21" s="11" t="n"/>
      <c r="E21" s="11" t="n"/>
      <c r="F21" s="11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7.25" customHeight="1" s="42">
      <c r="A22" s="3" t="inlineStr">
        <is>
          <t>Actions en circulation</t>
        </is>
      </c>
      <c r="B22" s="17">
        <f>WACC!B6</f>
        <v/>
      </c>
      <c r="C22" s="11" t="n"/>
      <c r="D22" s="11" t="n"/>
      <c r="E22" s="11" t="n"/>
      <c r="F22" s="11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7.25" customHeight="1" s="42">
      <c r="A23" s="3" t="inlineStr">
        <is>
          <t>Valeur par action DCF</t>
        </is>
      </c>
      <c r="B23" s="17">
        <f>B21/B22</f>
        <v/>
      </c>
      <c r="C23" s="11" t="n"/>
      <c r="D23" s="11" t="n"/>
      <c r="E23" s="11" t="n"/>
      <c r="F23" s="11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7.25" customHeight="1" s="42">
      <c r="A24" s="3" t="inlineStr">
        <is>
          <t>Cours actuel</t>
        </is>
      </c>
      <c r="B24" s="17">
        <f>WACC!B5</f>
        <v/>
      </c>
      <c r="C24" s="11" t="n"/>
      <c r="D24" s="11" t="n"/>
      <c r="E24" s="11" t="n"/>
      <c r="F24" s="11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7.25" customHeight="1" s="42">
      <c r="A25" s="3" t="inlineStr">
        <is>
          <t>Potentiel DCF</t>
        </is>
      </c>
      <c r="B25" s="15">
        <f>B23/B24-1</f>
        <v/>
      </c>
      <c r="C25" s="11" t="n"/>
      <c r="D25" s="11" t="n"/>
      <c r="E25" s="11" t="n"/>
      <c r="F25" s="11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2">
      <c r="A26" s="4" t="n"/>
      <c r="B26" s="23" t="n"/>
      <c r="C26" s="18" t="n"/>
      <c r="D26" s="18" t="n"/>
      <c r="E26" s="18" t="n"/>
      <c r="F26" s="18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5.75" customHeight="1" s="42">
      <c r="A27" s="4" t="n"/>
      <c r="B27" s="23" t="n"/>
      <c r="C27" s="18" t="n"/>
      <c r="D27" s="18" t="n"/>
      <c r="E27" s="18" t="n"/>
      <c r="F27" s="18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5.75" customHeight="1" s="42">
      <c r="A28" s="4" t="n"/>
      <c r="B28" s="23" t="n"/>
      <c r="C28" s="18" t="n"/>
      <c r="D28" s="18" t="n"/>
      <c r="E28" s="18" t="n"/>
      <c r="F28" s="18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5.75" customHeight="1" s="42">
      <c r="A29" s="4" t="n"/>
      <c r="B29" s="23" t="n"/>
      <c r="C29" s="18" t="n"/>
      <c r="D29" s="18" t="n"/>
      <c r="E29" s="18" t="n"/>
      <c r="F29" s="18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5.75" customHeight="1" s="42">
      <c r="A30" s="4" t="n"/>
      <c r="B30" s="23" t="n"/>
      <c r="C30" s="18" t="n"/>
      <c r="D30" s="18" t="n"/>
      <c r="E30" s="18" t="n"/>
      <c r="F30" s="18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5.75" customHeight="1" s="42">
      <c r="A31" s="4" t="n"/>
      <c r="B31" s="23" t="n"/>
      <c r="C31" s="18" t="n"/>
      <c r="D31" s="18" t="n"/>
      <c r="E31" s="18" t="n"/>
      <c r="F31" s="18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5.75" customHeight="1" s="42">
      <c r="A32" s="4" t="n"/>
      <c r="B32" s="23" t="n"/>
      <c r="C32" s="18" t="n"/>
      <c r="D32" s="18" t="n"/>
      <c r="E32" s="18" t="n"/>
      <c r="F32" s="18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5.75" customHeight="1" s="42">
      <c r="A33" s="4" t="n"/>
      <c r="B33" s="23" t="n"/>
      <c r="C33" s="18" t="n"/>
      <c r="D33" s="18" t="n"/>
      <c r="E33" s="18" t="n"/>
      <c r="F33" s="18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5.75" customHeight="1" s="42">
      <c r="A34" s="4" t="n"/>
      <c r="B34" s="23" t="n"/>
      <c r="C34" s="18" t="n"/>
      <c r="D34" s="18" t="n"/>
      <c r="E34" s="18" t="n"/>
      <c r="F34" s="18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5.75" customHeight="1" s="42">
      <c r="A35" s="4" t="n"/>
      <c r="B35" s="23" t="n"/>
      <c r="C35" s="18" t="n"/>
      <c r="D35" s="18" t="n"/>
      <c r="E35" s="18" t="n"/>
      <c r="F35" s="18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5.75" customHeight="1" s="42">
      <c r="A36" s="4" t="n"/>
      <c r="B36" s="23" t="n"/>
      <c r="C36" s="18" t="n"/>
      <c r="D36" s="18" t="n"/>
      <c r="E36" s="18" t="n"/>
      <c r="F36" s="18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5.75" customHeight="1" s="42">
      <c r="A37" s="4" t="n"/>
      <c r="B37" s="23" t="n"/>
      <c r="C37" s="18" t="n"/>
      <c r="D37" s="18" t="n"/>
      <c r="E37" s="18" t="n"/>
      <c r="F37" s="18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5.75" customHeight="1" s="42">
      <c r="A38" s="4" t="n"/>
      <c r="B38" s="23" t="n"/>
      <c r="C38" s="18" t="n"/>
      <c r="D38" s="18" t="n"/>
      <c r="E38" s="18" t="n"/>
      <c r="F38" s="18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5.75" customHeight="1" s="42">
      <c r="A39" s="4" t="n"/>
      <c r="B39" s="23" t="n"/>
      <c r="C39" s="18" t="n"/>
      <c r="D39" s="18" t="n"/>
      <c r="E39" s="18" t="n"/>
      <c r="F39" s="18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5.75" customHeight="1" s="42">
      <c r="A40" s="4" t="n"/>
      <c r="B40" s="23" t="n"/>
      <c r="C40" s="18" t="n"/>
      <c r="D40" s="18" t="n"/>
      <c r="E40" s="18" t="n"/>
      <c r="F40" s="18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5.75" customHeight="1" s="42">
      <c r="A41" s="4" t="n"/>
      <c r="B41" s="23" t="n"/>
      <c r="C41" s="18" t="n"/>
      <c r="D41" s="18" t="n"/>
      <c r="E41" s="18" t="n"/>
      <c r="F41" s="18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5.75" customHeight="1" s="42">
      <c r="A42" s="4" t="n"/>
      <c r="B42" s="23" t="n"/>
      <c r="C42" s="18" t="n"/>
      <c r="D42" s="18" t="n"/>
      <c r="E42" s="18" t="n"/>
      <c r="F42" s="18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5.75" customHeight="1" s="42">
      <c r="A43" s="4" t="n"/>
      <c r="B43" s="23" t="n"/>
      <c r="C43" s="18" t="n"/>
      <c r="D43" s="18" t="n"/>
      <c r="E43" s="18" t="n"/>
      <c r="F43" s="18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5.75" customHeight="1" s="42">
      <c r="A44" s="4" t="n"/>
      <c r="B44" s="23" t="n"/>
      <c r="C44" s="18" t="n"/>
      <c r="D44" s="18" t="n"/>
      <c r="E44" s="18" t="n"/>
      <c r="F44" s="18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5.75" customHeight="1" s="42">
      <c r="A45" s="4" t="n"/>
      <c r="B45" s="23" t="n"/>
      <c r="C45" s="18" t="n"/>
      <c r="D45" s="18" t="n"/>
      <c r="E45" s="18" t="n"/>
      <c r="F45" s="18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5.75" customHeight="1" s="42">
      <c r="A46" s="4" t="n"/>
      <c r="B46" s="23" t="n"/>
      <c r="C46" s="18" t="n"/>
      <c r="D46" s="18" t="n"/>
      <c r="E46" s="18" t="n"/>
      <c r="F46" s="18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5.75" customHeight="1" s="42">
      <c r="A47" s="4" t="n"/>
      <c r="B47" s="23" t="n"/>
      <c r="C47" s="18" t="n"/>
      <c r="D47" s="18" t="n"/>
      <c r="E47" s="18" t="n"/>
      <c r="F47" s="18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5.75" customHeight="1" s="42">
      <c r="A48" s="4" t="n"/>
      <c r="B48" s="23" t="n"/>
      <c r="C48" s="18" t="n"/>
      <c r="D48" s="18" t="n"/>
      <c r="E48" s="18" t="n"/>
      <c r="F48" s="18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5.75" customHeight="1" s="42">
      <c r="A49" s="4" t="n"/>
      <c r="B49" s="23" t="n"/>
      <c r="C49" s="18" t="n"/>
      <c r="D49" s="18" t="n"/>
      <c r="E49" s="18" t="n"/>
      <c r="F49" s="18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5.75" customHeight="1" s="42">
      <c r="A50" s="4" t="n"/>
      <c r="B50" s="23" t="n"/>
      <c r="C50" s="18" t="n"/>
      <c r="D50" s="18" t="n"/>
      <c r="E50" s="18" t="n"/>
      <c r="F50" s="18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5.75" customHeight="1" s="42">
      <c r="A51" s="4" t="n"/>
      <c r="B51" s="23" t="n"/>
      <c r="C51" s="18" t="n"/>
      <c r="D51" s="18" t="n"/>
      <c r="E51" s="18" t="n"/>
      <c r="F51" s="18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5.75" customHeight="1" s="42">
      <c r="A52" s="4" t="n"/>
      <c r="B52" s="23" t="n"/>
      <c r="C52" s="18" t="n"/>
      <c r="D52" s="18" t="n"/>
      <c r="E52" s="18" t="n"/>
      <c r="F52" s="18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5.75" customHeight="1" s="42">
      <c r="A53" s="4" t="n"/>
      <c r="B53" s="23" t="n"/>
      <c r="C53" s="18" t="n"/>
      <c r="D53" s="18" t="n"/>
      <c r="E53" s="18" t="n"/>
      <c r="F53" s="18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5.75" customHeight="1" s="42">
      <c r="A54" s="4" t="n"/>
      <c r="B54" s="23" t="n"/>
      <c r="C54" s="18" t="n"/>
      <c r="D54" s="18" t="n"/>
      <c r="E54" s="18" t="n"/>
      <c r="F54" s="18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5.75" customHeight="1" s="42">
      <c r="A55" s="4" t="n"/>
      <c r="B55" s="23" t="n"/>
      <c r="C55" s="18" t="n"/>
      <c r="D55" s="18" t="n"/>
      <c r="E55" s="18" t="n"/>
      <c r="F55" s="18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5.75" customHeight="1" s="42">
      <c r="A56" s="4" t="n"/>
      <c r="B56" s="23" t="n"/>
      <c r="C56" s="18" t="n"/>
      <c r="D56" s="18" t="n"/>
      <c r="E56" s="18" t="n"/>
      <c r="F56" s="18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5.75" customHeight="1" s="42">
      <c r="A57" s="4" t="n"/>
      <c r="B57" s="23" t="n"/>
      <c r="C57" s="18" t="n"/>
      <c r="D57" s="18" t="n"/>
      <c r="E57" s="18" t="n"/>
      <c r="F57" s="18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5.75" customHeight="1" s="42">
      <c r="A58" s="4" t="n"/>
      <c r="B58" s="23" t="n"/>
      <c r="C58" s="18" t="n"/>
      <c r="D58" s="18" t="n"/>
      <c r="E58" s="18" t="n"/>
      <c r="F58" s="18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5.75" customHeight="1" s="42">
      <c r="A59" s="4" t="n"/>
      <c r="B59" s="23" t="n"/>
      <c r="C59" s="18" t="n"/>
      <c r="D59" s="18" t="n"/>
      <c r="E59" s="18" t="n"/>
      <c r="F59" s="18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5.75" customHeight="1" s="42">
      <c r="A60" s="4" t="n"/>
      <c r="B60" s="23" t="n"/>
      <c r="C60" s="18" t="n"/>
      <c r="D60" s="18" t="n"/>
      <c r="E60" s="18" t="n"/>
      <c r="F60" s="18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5.75" customHeight="1" s="42">
      <c r="A61" s="4" t="n"/>
      <c r="B61" s="23" t="n"/>
      <c r="C61" s="18" t="n"/>
      <c r="D61" s="18" t="n"/>
      <c r="E61" s="18" t="n"/>
      <c r="F61" s="18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5.75" customHeight="1" s="42">
      <c r="A62" s="4" t="n"/>
      <c r="B62" s="23" t="n"/>
      <c r="C62" s="18" t="n"/>
      <c r="D62" s="18" t="n"/>
      <c r="E62" s="18" t="n"/>
      <c r="F62" s="18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5.75" customHeight="1" s="42">
      <c r="A63" s="4" t="n"/>
      <c r="B63" s="23" t="n"/>
      <c r="C63" s="18" t="n"/>
      <c r="D63" s="18" t="n"/>
      <c r="E63" s="18" t="n"/>
      <c r="F63" s="18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5.75" customHeight="1" s="42">
      <c r="A64" s="4" t="n"/>
      <c r="B64" s="23" t="n"/>
      <c r="C64" s="18" t="n"/>
      <c r="D64" s="18" t="n"/>
      <c r="E64" s="18" t="n"/>
      <c r="F64" s="18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5.75" customHeight="1" s="42">
      <c r="A65" s="4" t="n"/>
      <c r="B65" s="23" t="n"/>
      <c r="C65" s="18" t="n"/>
      <c r="D65" s="18" t="n"/>
      <c r="E65" s="18" t="n"/>
      <c r="F65" s="18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5.75" customHeight="1" s="42">
      <c r="A66" s="4" t="n"/>
      <c r="B66" s="23" t="n"/>
      <c r="C66" s="18" t="n"/>
      <c r="D66" s="18" t="n"/>
      <c r="E66" s="18" t="n"/>
      <c r="F66" s="18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5.75" customHeight="1" s="42">
      <c r="A67" s="4" t="n"/>
      <c r="B67" s="23" t="n"/>
      <c r="C67" s="18" t="n"/>
      <c r="D67" s="18" t="n"/>
      <c r="E67" s="18" t="n"/>
      <c r="F67" s="18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5.75" customHeight="1" s="42">
      <c r="A68" s="4" t="n"/>
      <c r="B68" s="23" t="n"/>
      <c r="C68" s="18" t="n"/>
      <c r="D68" s="18" t="n"/>
      <c r="E68" s="18" t="n"/>
      <c r="F68" s="18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5.75" customHeight="1" s="42">
      <c r="A69" s="4" t="n"/>
      <c r="B69" s="23" t="n"/>
      <c r="C69" s="18" t="n"/>
      <c r="D69" s="18" t="n"/>
      <c r="E69" s="18" t="n"/>
      <c r="F69" s="18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5.75" customHeight="1" s="42">
      <c r="A70" s="4" t="n"/>
      <c r="B70" s="23" t="n"/>
      <c r="C70" s="18" t="n"/>
      <c r="D70" s="18" t="n"/>
      <c r="E70" s="18" t="n"/>
      <c r="F70" s="18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5.75" customHeight="1" s="42">
      <c r="A71" s="4" t="n"/>
      <c r="B71" s="23" t="n"/>
      <c r="C71" s="18" t="n"/>
      <c r="D71" s="18" t="n"/>
      <c r="E71" s="18" t="n"/>
      <c r="F71" s="18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5.75" customHeight="1" s="42">
      <c r="A72" s="4" t="n"/>
      <c r="B72" s="23" t="n"/>
      <c r="C72" s="18" t="n"/>
      <c r="D72" s="18" t="n"/>
      <c r="E72" s="18" t="n"/>
      <c r="F72" s="18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5.75" customHeight="1" s="42">
      <c r="A73" s="4" t="n"/>
      <c r="B73" s="23" t="n"/>
      <c r="C73" s="18" t="n"/>
      <c r="D73" s="18" t="n"/>
      <c r="E73" s="18" t="n"/>
      <c r="F73" s="18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5.75" customHeight="1" s="42">
      <c r="A74" s="4" t="n"/>
      <c r="B74" s="23" t="n"/>
      <c r="C74" s="18" t="n"/>
      <c r="D74" s="18" t="n"/>
      <c r="E74" s="18" t="n"/>
      <c r="F74" s="18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5.75" customHeight="1" s="42">
      <c r="A75" s="4" t="n"/>
      <c r="B75" s="23" t="n"/>
      <c r="C75" s="18" t="n"/>
      <c r="D75" s="18" t="n"/>
      <c r="E75" s="18" t="n"/>
      <c r="F75" s="18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5.75" customHeight="1" s="42">
      <c r="A76" s="4" t="n"/>
      <c r="B76" s="23" t="n"/>
      <c r="C76" s="18" t="n"/>
      <c r="D76" s="18" t="n"/>
      <c r="E76" s="18" t="n"/>
      <c r="F76" s="18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5.75" customHeight="1" s="42">
      <c r="A77" s="4" t="n"/>
      <c r="B77" s="23" t="n"/>
      <c r="C77" s="18" t="n"/>
      <c r="D77" s="18" t="n"/>
      <c r="E77" s="18" t="n"/>
      <c r="F77" s="18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5.75" customHeight="1" s="42">
      <c r="A78" s="4" t="n"/>
      <c r="B78" s="23" t="n"/>
      <c r="C78" s="18" t="n"/>
      <c r="D78" s="18" t="n"/>
      <c r="E78" s="18" t="n"/>
      <c r="F78" s="18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5.75" customHeight="1" s="42">
      <c r="A79" s="4" t="n"/>
      <c r="B79" s="23" t="n"/>
      <c r="C79" s="18" t="n"/>
      <c r="D79" s="18" t="n"/>
      <c r="E79" s="18" t="n"/>
      <c r="F79" s="18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5.75" customHeight="1" s="42">
      <c r="A80" s="4" t="n"/>
      <c r="B80" s="23" t="n"/>
      <c r="C80" s="18" t="n"/>
      <c r="D80" s="18" t="n"/>
      <c r="E80" s="18" t="n"/>
      <c r="F80" s="18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5.75" customHeight="1" s="42">
      <c r="A81" s="4" t="n"/>
      <c r="B81" s="23" t="n"/>
      <c r="C81" s="18" t="n"/>
      <c r="D81" s="18" t="n"/>
      <c r="E81" s="18" t="n"/>
      <c r="F81" s="18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5.75" customHeight="1" s="42">
      <c r="A82" s="4" t="n"/>
      <c r="B82" s="23" t="n"/>
      <c r="C82" s="18" t="n"/>
      <c r="D82" s="18" t="n"/>
      <c r="E82" s="18" t="n"/>
      <c r="F82" s="18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5.75" customHeight="1" s="42">
      <c r="A83" s="4" t="n"/>
      <c r="B83" s="23" t="n"/>
      <c r="C83" s="18" t="n"/>
      <c r="D83" s="18" t="n"/>
      <c r="E83" s="18" t="n"/>
      <c r="F83" s="18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5.75" customHeight="1" s="42">
      <c r="A84" s="4" t="n"/>
      <c r="B84" s="23" t="n"/>
      <c r="C84" s="18" t="n"/>
      <c r="D84" s="18" t="n"/>
      <c r="E84" s="18" t="n"/>
      <c r="F84" s="18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5.75" customHeight="1" s="42">
      <c r="A85" s="4" t="n"/>
      <c r="B85" s="23" t="n"/>
      <c r="C85" s="18" t="n"/>
      <c r="D85" s="18" t="n"/>
      <c r="E85" s="18" t="n"/>
      <c r="F85" s="18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5.75" customHeight="1" s="42">
      <c r="A86" s="4" t="n"/>
      <c r="B86" s="23" t="n"/>
      <c r="C86" s="18" t="n"/>
      <c r="D86" s="18" t="n"/>
      <c r="E86" s="18" t="n"/>
      <c r="F86" s="18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5.75" customHeight="1" s="42">
      <c r="A87" s="4" t="n"/>
      <c r="B87" s="23" t="n"/>
      <c r="C87" s="18" t="n"/>
      <c r="D87" s="18" t="n"/>
      <c r="E87" s="18" t="n"/>
      <c r="F87" s="18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5.75" customHeight="1" s="42">
      <c r="A88" s="4" t="n"/>
      <c r="B88" s="23" t="n"/>
      <c r="C88" s="18" t="n"/>
      <c r="D88" s="18" t="n"/>
      <c r="E88" s="18" t="n"/>
      <c r="F88" s="18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5.75" customHeight="1" s="42">
      <c r="A89" s="4" t="n"/>
      <c r="B89" s="23" t="n"/>
      <c r="C89" s="18" t="n"/>
      <c r="D89" s="18" t="n"/>
      <c r="E89" s="18" t="n"/>
      <c r="F89" s="18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5.75" customHeight="1" s="42">
      <c r="A90" s="4" t="n"/>
      <c r="B90" s="23" t="n"/>
      <c r="C90" s="18" t="n"/>
      <c r="D90" s="18" t="n"/>
      <c r="E90" s="18" t="n"/>
      <c r="F90" s="18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5.75" customHeight="1" s="42">
      <c r="A91" s="4" t="n"/>
      <c r="B91" s="23" t="n"/>
      <c r="C91" s="18" t="n"/>
      <c r="D91" s="18" t="n"/>
      <c r="E91" s="18" t="n"/>
      <c r="F91" s="18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5.75" customHeight="1" s="42">
      <c r="A92" s="4" t="n"/>
      <c r="B92" s="23" t="n"/>
      <c r="C92" s="18" t="n"/>
      <c r="D92" s="18" t="n"/>
      <c r="E92" s="18" t="n"/>
      <c r="F92" s="18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5.75" customHeight="1" s="42">
      <c r="A93" s="4" t="n"/>
      <c r="B93" s="23" t="n"/>
      <c r="C93" s="18" t="n"/>
      <c r="D93" s="18" t="n"/>
      <c r="E93" s="18" t="n"/>
      <c r="F93" s="18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5.75" customHeight="1" s="42">
      <c r="A94" s="4" t="n"/>
      <c r="B94" s="23" t="n"/>
      <c r="C94" s="18" t="n"/>
      <c r="D94" s="18" t="n"/>
      <c r="E94" s="18" t="n"/>
      <c r="F94" s="18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5.75" customHeight="1" s="42">
      <c r="A95" s="4" t="n"/>
      <c r="B95" s="23" t="n"/>
      <c r="C95" s="18" t="n"/>
      <c r="D95" s="18" t="n"/>
      <c r="E95" s="18" t="n"/>
      <c r="F95" s="18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5.75" customHeight="1" s="42">
      <c r="A96" s="4" t="n"/>
      <c r="B96" s="23" t="n"/>
      <c r="C96" s="18" t="n"/>
      <c r="D96" s="18" t="n"/>
      <c r="E96" s="18" t="n"/>
      <c r="F96" s="18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5.75" customHeight="1" s="42">
      <c r="A97" s="4" t="n"/>
      <c r="B97" s="23" t="n"/>
      <c r="C97" s="18" t="n"/>
      <c r="D97" s="18" t="n"/>
      <c r="E97" s="18" t="n"/>
      <c r="F97" s="18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5.75" customHeight="1" s="42">
      <c r="A98" s="4" t="n"/>
      <c r="B98" s="23" t="n"/>
      <c r="C98" s="18" t="n"/>
      <c r="D98" s="18" t="n"/>
      <c r="E98" s="18" t="n"/>
      <c r="F98" s="18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5.75" customHeight="1" s="42">
      <c r="A99" s="4" t="n"/>
      <c r="B99" s="23" t="n"/>
      <c r="C99" s="18" t="n"/>
      <c r="D99" s="18" t="n"/>
      <c r="E99" s="18" t="n"/>
      <c r="F99" s="18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5.75" customHeight="1" s="42">
      <c r="A100" s="4" t="n"/>
      <c r="B100" s="23" t="n"/>
      <c r="C100" s="18" t="n"/>
      <c r="D100" s="18" t="n"/>
      <c r="E100" s="18" t="n"/>
      <c r="F100" s="18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5.75" customHeight="1" s="42">
      <c r="A101" s="4" t="n"/>
      <c r="B101" s="23" t="n"/>
      <c r="C101" s="18" t="n"/>
      <c r="D101" s="18" t="n"/>
      <c r="E101" s="18" t="n"/>
      <c r="F101" s="18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5.75" customHeight="1" s="42">
      <c r="A102" s="4" t="n"/>
      <c r="B102" s="23" t="n"/>
      <c r="C102" s="18" t="n"/>
      <c r="D102" s="18" t="n"/>
      <c r="E102" s="18" t="n"/>
      <c r="F102" s="18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5.75" customHeight="1" s="42">
      <c r="A103" s="4" t="n"/>
      <c r="B103" s="23" t="n"/>
      <c r="C103" s="18" t="n"/>
      <c r="D103" s="18" t="n"/>
      <c r="E103" s="18" t="n"/>
      <c r="F103" s="18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5.75" customHeight="1" s="42">
      <c r="A104" s="4" t="n"/>
      <c r="B104" s="23" t="n"/>
      <c r="C104" s="18" t="n"/>
      <c r="D104" s="18" t="n"/>
      <c r="E104" s="18" t="n"/>
      <c r="F104" s="18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5.75" customHeight="1" s="42">
      <c r="A105" s="4" t="n"/>
      <c r="B105" s="23" t="n"/>
      <c r="C105" s="18" t="n"/>
      <c r="D105" s="18" t="n"/>
      <c r="E105" s="18" t="n"/>
      <c r="F105" s="18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5.75" customHeight="1" s="42">
      <c r="A106" s="4" t="n"/>
      <c r="B106" s="23" t="n"/>
      <c r="C106" s="18" t="n"/>
      <c r="D106" s="18" t="n"/>
      <c r="E106" s="18" t="n"/>
      <c r="F106" s="18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5.75" customHeight="1" s="42">
      <c r="A107" s="4" t="n"/>
      <c r="B107" s="23" t="n"/>
      <c r="C107" s="18" t="n"/>
      <c r="D107" s="18" t="n"/>
      <c r="E107" s="18" t="n"/>
      <c r="F107" s="18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5.75" customHeight="1" s="42">
      <c r="A108" s="4" t="n"/>
      <c r="B108" s="23" t="n"/>
      <c r="C108" s="18" t="n"/>
      <c r="D108" s="18" t="n"/>
      <c r="E108" s="18" t="n"/>
      <c r="F108" s="18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5.75" customHeight="1" s="42">
      <c r="A109" s="4" t="n"/>
      <c r="B109" s="23" t="n"/>
      <c r="C109" s="18" t="n"/>
      <c r="D109" s="18" t="n"/>
      <c r="E109" s="18" t="n"/>
      <c r="F109" s="18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5.75" customHeight="1" s="42">
      <c r="A110" s="4" t="n"/>
      <c r="B110" s="23" t="n"/>
      <c r="C110" s="18" t="n"/>
      <c r="D110" s="18" t="n"/>
      <c r="E110" s="18" t="n"/>
      <c r="F110" s="18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5.75" customHeight="1" s="42">
      <c r="A111" s="4" t="n"/>
      <c r="B111" s="23" t="n"/>
      <c r="C111" s="18" t="n"/>
      <c r="D111" s="18" t="n"/>
      <c r="E111" s="18" t="n"/>
      <c r="F111" s="18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5.75" customHeight="1" s="42">
      <c r="A112" s="4" t="n"/>
      <c r="B112" s="23" t="n"/>
      <c r="C112" s="18" t="n"/>
      <c r="D112" s="18" t="n"/>
      <c r="E112" s="18" t="n"/>
      <c r="F112" s="18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5.75" customHeight="1" s="42">
      <c r="A113" s="4" t="n"/>
      <c r="B113" s="23" t="n"/>
      <c r="C113" s="18" t="n"/>
      <c r="D113" s="18" t="n"/>
      <c r="E113" s="18" t="n"/>
      <c r="F113" s="18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5.75" customHeight="1" s="42">
      <c r="A114" s="4" t="n"/>
      <c r="B114" s="23" t="n"/>
      <c r="C114" s="18" t="n"/>
      <c r="D114" s="18" t="n"/>
      <c r="E114" s="18" t="n"/>
      <c r="F114" s="18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5.75" customHeight="1" s="42">
      <c r="A115" s="4" t="n"/>
      <c r="B115" s="23" t="n"/>
      <c r="C115" s="18" t="n"/>
      <c r="D115" s="18" t="n"/>
      <c r="E115" s="18" t="n"/>
      <c r="F115" s="18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5.75" customHeight="1" s="42">
      <c r="A116" s="4" t="n"/>
      <c r="B116" s="23" t="n"/>
      <c r="C116" s="18" t="n"/>
      <c r="D116" s="18" t="n"/>
      <c r="E116" s="18" t="n"/>
      <c r="F116" s="18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5.75" customHeight="1" s="42">
      <c r="A117" s="4" t="n"/>
      <c r="B117" s="23" t="n"/>
      <c r="C117" s="18" t="n"/>
      <c r="D117" s="18" t="n"/>
      <c r="E117" s="18" t="n"/>
      <c r="F117" s="18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5.75" customHeight="1" s="42">
      <c r="A118" s="4" t="n"/>
      <c r="B118" s="23" t="n"/>
      <c r="C118" s="18" t="n"/>
      <c r="D118" s="18" t="n"/>
      <c r="E118" s="18" t="n"/>
      <c r="F118" s="18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5.75" customHeight="1" s="42">
      <c r="A119" s="4" t="n"/>
      <c r="B119" s="23" t="n"/>
      <c r="C119" s="18" t="n"/>
      <c r="D119" s="18" t="n"/>
      <c r="E119" s="18" t="n"/>
      <c r="F119" s="18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5.75" customHeight="1" s="42">
      <c r="A120" s="4" t="n"/>
      <c r="B120" s="23" t="n"/>
      <c r="C120" s="18" t="n"/>
      <c r="D120" s="18" t="n"/>
      <c r="E120" s="18" t="n"/>
      <c r="F120" s="18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5.75" customHeight="1" s="42">
      <c r="A121" s="4" t="n"/>
      <c r="B121" s="23" t="n"/>
      <c r="C121" s="18" t="n"/>
      <c r="D121" s="18" t="n"/>
      <c r="E121" s="18" t="n"/>
      <c r="F121" s="18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5.75" customHeight="1" s="42">
      <c r="A122" s="4" t="n"/>
      <c r="B122" s="23" t="n"/>
      <c r="C122" s="18" t="n"/>
      <c r="D122" s="18" t="n"/>
      <c r="E122" s="18" t="n"/>
      <c r="F122" s="18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5.75" customHeight="1" s="42">
      <c r="A123" s="4" t="n"/>
      <c r="B123" s="23" t="n"/>
      <c r="C123" s="18" t="n"/>
      <c r="D123" s="18" t="n"/>
      <c r="E123" s="18" t="n"/>
      <c r="F123" s="18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5.75" customHeight="1" s="42">
      <c r="A124" s="4" t="n"/>
      <c r="B124" s="23" t="n"/>
      <c r="C124" s="18" t="n"/>
      <c r="D124" s="18" t="n"/>
      <c r="E124" s="18" t="n"/>
      <c r="F124" s="18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5.75" customHeight="1" s="42">
      <c r="A125" s="4" t="n"/>
      <c r="B125" s="23" t="n"/>
      <c r="C125" s="18" t="n"/>
      <c r="D125" s="18" t="n"/>
      <c r="E125" s="18" t="n"/>
      <c r="F125" s="18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5.75" customHeight="1" s="42">
      <c r="A126" s="4" t="n"/>
      <c r="B126" s="23" t="n"/>
      <c r="C126" s="18" t="n"/>
      <c r="D126" s="18" t="n"/>
      <c r="E126" s="18" t="n"/>
      <c r="F126" s="18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5.75" customHeight="1" s="42">
      <c r="A127" s="4" t="n"/>
      <c r="B127" s="23" t="n"/>
      <c r="C127" s="18" t="n"/>
      <c r="D127" s="18" t="n"/>
      <c r="E127" s="18" t="n"/>
      <c r="F127" s="18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5.75" customHeight="1" s="42">
      <c r="A128" s="4" t="n"/>
      <c r="B128" s="23" t="n"/>
      <c r="C128" s="18" t="n"/>
      <c r="D128" s="18" t="n"/>
      <c r="E128" s="18" t="n"/>
      <c r="F128" s="18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5.75" customHeight="1" s="42">
      <c r="A129" s="4" t="n"/>
      <c r="B129" s="23" t="n"/>
      <c r="C129" s="18" t="n"/>
      <c r="D129" s="18" t="n"/>
      <c r="E129" s="18" t="n"/>
      <c r="F129" s="18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5.75" customHeight="1" s="42">
      <c r="A130" s="4" t="n"/>
      <c r="B130" s="23" t="n"/>
      <c r="C130" s="18" t="n"/>
      <c r="D130" s="18" t="n"/>
      <c r="E130" s="18" t="n"/>
      <c r="F130" s="18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5.75" customHeight="1" s="42">
      <c r="A131" s="4" t="n"/>
      <c r="B131" s="23" t="n"/>
      <c r="C131" s="18" t="n"/>
      <c r="D131" s="18" t="n"/>
      <c r="E131" s="18" t="n"/>
      <c r="F131" s="18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5.75" customHeight="1" s="42">
      <c r="A132" s="4" t="n"/>
      <c r="B132" s="23" t="n"/>
      <c r="C132" s="18" t="n"/>
      <c r="D132" s="18" t="n"/>
      <c r="E132" s="18" t="n"/>
      <c r="F132" s="18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5.75" customHeight="1" s="42">
      <c r="A133" s="4" t="n"/>
      <c r="B133" s="23" t="n"/>
      <c r="C133" s="18" t="n"/>
      <c r="D133" s="18" t="n"/>
      <c r="E133" s="18" t="n"/>
      <c r="F133" s="18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5.75" customHeight="1" s="42">
      <c r="A134" s="4" t="n"/>
      <c r="B134" s="23" t="n"/>
      <c r="C134" s="18" t="n"/>
      <c r="D134" s="18" t="n"/>
      <c r="E134" s="18" t="n"/>
      <c r="F134" s="18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5.75" customHeight="1" s="42">
      <c r="A135" s="4" t="n"/>
      <c r="B135" s="23" t="n"/>
      <c r="C135" s="18" t="n"/>
      <c r="D135" s="18" t="n"/>
      <c r="E135" s="18" t="n"/>
      <c r="F135" s="18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5.75" customHeight="1" s="42">
      <c r="A136" s="4" t="n"/>
      <c r="B136" s="23" t="n"/>
      <c r="C136" s="18" t="n"/>
      <c r="D136" s="18" t="n"/>
      <c r="E136" s="18" t="n"/>
      <c r="F136" s="18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5.75" customHeight="1" s="42">
      <c r="A137" s="4" t="n"/>
      <c r="B137" s="23" t="n"/>
      <c r="C137" s="18" t="n"/>
      <c r="D137" s="18" t="n"/>
      <c r="E137" s="18" t="n"/>
      <c r="F137" s="18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5.75" customHeight="1" s="42">
      <c r="A138" s="4" t="n"/>
      <c r="B138" s="23" t="n"/>
      <c r="C138" s="18" t="n"/>
      <c r="D138" s="18" t="n"/>
      <c r="E138" s="18" t="n"/>
      <c r="F138" s="18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5.75" customHeight="1" s="42">
      <c r="A139" s="4" t="n"/>
      <c r="B139" s="23" t="n"/>
      <c r="C139" s="18" t="n"/>
      <c r="D139" s="18" t="n"/>
      <c r="E139" s="18" t="n"/>
      <c r="F139" s="18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5.75" customHeight="1" s="42">
      <c r="A140" s="4" t="n"/>
      <c r="B140" s="23" t="n"/>
      <c r="C140" s="18" t="n"/>
      <c r="D140" s="18" t="n"/>
      <c r="E140" s="18" t="n"/>
      <c r="F140" s="18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5.75" customHeight="1" s="42">
      <c r="A141" s="4" t="n"/>
      <c r="B141" s="23" t="n"/>
      <c r="C141" s="18" t="n"/>
      <c r="D141" s="18" t="n"/>
      <c r="E141" s="18" t="n"/>
      <c r="F141" s="18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5.75" customHeight="1" s="42">
      <c r="A142" s="4" t="n"/>
      <c r="B142" s="23" t="n"/>
      <c r="C142" s="18" t="n"/>
      <c r="D142" s="18" t="n"/>
      <c r="E142" s="18" t="n"/>
      <c r="F142" s="18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5.75" customHeight="1" s="42">
      <c r="A143" s="4" t="n"/>
      <c r="B143" s="23" t="n"/>
      <c r="C143" s="18" t="n"/>
      <c r="D143" s="18" t="n"/>
      <c r="E143" s="18" t="n"/>
      <c r="F143" s="18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5.75" customHeight="1" s="42">
      <c r="A144" s="4" t="n"/>
      <c r="B144" s="23" t="n"/>
      <c r="C144" s="18" t="n"/>
      <c r="D144" s="18" t="n"/>
      <c r="E144" s="18" t="n"/>
      <c r="F144" s="18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5.75" customHeight="1" s="42">
      <c r="A145" s="4" t="n"/>
      <c r="B145" s="23" t="n"/>
      <c r="C145" s="18" t="n"/>
      <c r="D145" s="18" t="n"/>
      <c r="E145" s="18" t="n"/>
      <c r="F145" s="18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5.75" customHeight="1" s="42">
      <c r="A146" s="4" t="n"/>
      <c r="B146" s="23" t="n"/>
      <c r="C146" s="18" t="n"/>
      <c r="D146" s="18" t="n"/>
      <c r="E146" s="18" t="n"/>
      <c r="F146" s="18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5.75" customHeight="1" s="42">
      <c r="A147" s="4" t="n"/>
      <c r="B147" s="23" t="n"/>
      <c r="C147" s="18" t="n"/>
      <c r="D147" s="18" t="n"/>
      <c r="E147" s="18" t="n"/>
      <c r="F147" s="18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5.75" customHeight="1" s="42">
      <c r="A148" s="4" t="n"/>
      <c r="B148" s="23" t="n"/>
      <c r="C148" s="18" t="n"/>
      <c r="D148" s="18" t="n"/>
      <c r="E148" s="18" t="n"/>
      <c r="F148" s="18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5.75" customHeight="1" s="42">
      <c r="A149" s="4" t="n"/>
      <c r="B149" s="23" t="n"/>
      <c r="C149" s="18" t="n"/>
      <c r="D149" s="18" t="n"/>
      <c r="E149" s="18" t="n"/>
      <c r="F149" s="18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5.75" customHeight="1" s="42">
      <c r="A150" s="4" t="n"/>
      <c r="B150" s="23" t="n"/>
      <c r="C150" s="18" t="n"/>
      <c r="D150" s="18" t="n"/>
      <c r="E150" s="18" t="n"/>
      <c r="F150" s="18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5.75" customHeight="1" s="42">
      <c r="A151" s="4" t="n"/>
      <c r="B151" s="23" t="n"/>
      <c r="C151" s="18" t="n"/>
      <c r="D151" s="18" t="n"/>
      <c r="E151" s="18" t="n"/>
      <c r="F151" s="18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5.75" customHeight="1" s="42">
      <c r="A152" s="4" t="n"/>
      <c r="B152" s="23" t="n"/>
      <c r="C152" s="18" t="n"/>
      <c r="D152" s="18" t="n"/>
      <c r="E152" s="18" t="n"/>
      <c r="F152" s="18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5.75" customHeight="1" s="42">
      <c r="A153" s="4" t="n"/>
      <c r="B153" s="23" t="n"/>
      <c r="C153" s="18" t="n"/>
      <c r="D153" s="18" t="n"/>
      <c r="E153" s="18" t="n"/>
      <c r="F153" s="18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5.75" customHeight="1" s="42">
      <c r="A154" s="4" t="n"/>
      <c r="B154" s="23" t="n"/>
      <c r="C154" s="18" t="n"/>
      <c r="D154" s="18" t="n"/>
      <c r="E154" s="18" t="n"/>
      <c r="F154" s="18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5.75" customHeight="1" s="42">
      <c r="A155" s="4" t="n"/>
      <c r="B155" s="23" t="n"/>
      <c r="C155" s="18" t="n"/>
      <c r="D155" s="18" t="n"/>
      <c r="E155" s="18" t="n"/>
      <c r="F155" s="18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5.75" customHeight="1" s="42">
      <c r="A156" s="4" t="n"/>
      <c r="B156" s="23" t="n"/>
      <c r="C156" s="18" t="n"/>
      <c r="D156" s="18" t="n"/>
      <c r="E156" s="18" t="n"/>
      <c r="F156" s="18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5.75" customHeight="1" s="42">
      <c r="A157" s="4" t="n"/>
      <c r="B157" s="23" t="n"/>
      <c r="C157" s="18" t="n"/>
      <c r="D157" s="18" t="n"/>
      <c r="E157" s="18" t="n"/>
      <c r="F157" s="18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5.75" customHeight="1" s="42">
      <c r="A158" s="4" t="n"/>
      <c r="B158" s="23" t="n"/>
      <c r="C158" s="18" t="n"/>
      <c r="D158" s="18" t="n"/>
      <c r="E158" s="18" t="n"/>
      <c r="F158" s="18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5.75" customHeight="1" s="42">
      <c r="A159" s="4" t="n"/>
      <c r="B159" s="23" t="n"/>
      <c r="C159" s="18" t="n"/>
      <c r="D159" s="18" t="n"/>
      <c r="E159" s="18" t="n"/>
      <c r="F159" s="18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5.75" customHeight="1" s="42">
      <c r="A160" s="4" t="n"/>
      <c r="B160" s="23" t="n"/>
      <c r="C160" s="18" t="n"/>
      <c r="D160" s="18" t="n"/>
      <c r="E160" s="18" t="n"/>
      <c r="F160" s="18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5.75" customHeight="1" s="42">
      <c r="A161" s="4" t="n"/>
      <c r="B161" s="23" t="n"/>
      <c r="C161" s="18" t="n"/>
      <c r="D161" s="18" t="n"/>
      <c r="E161" s="18" t="n"/>
      <c r="F161" s="18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5.75" customHeight="1" s="42">
      <c r="A162" s="4" t="n"/>
      <c r="B162" s="23" t="n"/>
      <c r="C162" s="18" t="n"/>
      <c r="D162" s="18" t="n"/>
      <c r="E162" s="18" t="n"/>
      <c r="F162" s="18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5.75" customHeight="1" s="42">
      <c r="A163" s="4" t="n"/>
      <c r="B163" s="23" t="n"/>
      <c r="C163" s="18" t="n"/>
      <c r="D163" s="18" t="n"/>
      <c r="E163" s="18" t="n"/>
      <c r="F163" s="18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5.75" customHeight="1" s="42">
      <c r="A164" s="4" t="n"/>
      <c r="B164" s="23" t="n"/>
      <c r="C164" s="18" t="n"/>
      <c r="D164" s="18" t="n"/>
      <c r="E164" s="18" t="n"/>
      <c r="F164" s="18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5.75" customHeight="1" s="42">
      <c r="A165" s="4" t="n"/>
      <c r="B165" s="23" t="n"/>
      <c r="C165" s="18" t="n"/>
      <c r="D165" s="18" t="n"/>
      <c r="E165" s="18" t="n"/>
      <c r="F165" s="18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5.75" customHeight="1" s="42">
      <c r="A166" s="4" t="n"/>
      <c r="B166" s="23" t="n"/>
      <c r="C166" s="18" t="n"/>
      <c r="D166" s="18" t="n"/>
      <c r="E166" s="18" t="n"/>
      <c r="F166" s="18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5.75" customHeight="1" s="42">
      <c r="A167" s="4" t="n"/>
      <c r="B167" s="23" t="n"/>
      <c r="C167" s="18" t="n"/>
      <c r="D167" s="18" t="n"/>
      <c r="E167" s="18" t="n"/>
      <c r="F167" s="18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5.75" customHeight="1" s="42">
      <c r="A168" s="4" t="n"/>
      <c r="B168" s="23" t="n"/>
      <c r="C168" s="18" t="n"/>
      <c r="D168" s="18" t="n"/>
      <c r="E168" s="18" t="n"/>
      <c r="F168" s="18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5.75" customHeight="1" s="42">
      <c r="A169" s="4" t="n"/>
      <c r="B169" s="23" t="n"/>
      <c r="C169" s="18" t="n"/>
      <c r="D169" s="18" t="n"/>
      <c r="E169" s="18" t="n"/>
      <c r="F169" s="18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5.75" customHeight="1" s="42">
      <c r="A170" s="4" t="n"/>
      <c r="B170" s="23" t="n"/>
      <c r="C170" s="18" t="n"/>
      <c r="D170" s="18" t="n"/>
      <c r="E170" s="18" t="n"/>
      <c r="F170" s="18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5.75" customHeight="1" s="42">
      <c r="A171" s="4" t="n"/>
      <c r="B171" s="23" t="n"/>
      <c r="C171" s="18" t="n"/>
      <c r="D171" s="18" t="n"/>
      <c r="E171" s="18" t="n"/>
      <c r="F171" s="18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5.75" customHeight="1" s="42">
      <c r="A172" s="4" t="n"/>
      <c r="B172" s="23" t="n"/>
      <c r="C172" s="18" t="n"/>
      <c r="D172" s="18" t="n"/>
      <c r="E172" s="18" t="n"/>
      <c r="F172" s="18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5.75" customHeight="1" s="42">
      <c r="A173" s="4" t="n"/>
      <c r="B173" s="23" t="n"/>
      <c r="C173" s="18" t="n"/>
      <c r="D173" s="18" t="n"/>
      <c r="E173" s="18" t="n"/>
      <c r="F173" s="18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5.75" customHeight="1" s="42">
      <c r="A174" s="4" t="n"/>
      <c r="B174" s="23" t="n"/>
      <c r="C174" s="18" t="n"/>
      <c r="D174" s="18" t="n"/>
      <c r="E174" s="18" t="n"/>
      <c r="F174" s="18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5.75" customHeight="1" s="42">
      <c r="A175" s="4" t="n"/>
      <c r="B175" s="23" t="n"/>
      <c r="C175" s="18" t="n"/>
      <c r="D175" s="18" t="n"/>
      <c r="E175" s="18" t="n"/>
      <c r="F175" s="18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5.75" customHeight="1" s="42">
      <c r="A176" s="4" t="n"/>
      <c r="B176" s="23" t="n"/>
      <c r="C176" s="18" t="n"/>
      <c r="D176" s="18" t="n"/>
      <c r="E176" s="18" t="n"/>
      <c r="F176" s="18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5.75" customHeight="1" s="42">
      <c r="A177" s="4" t="n"/>
      <c r="B177" s="23" t="n"/>
      <c r="C177" s="18" t="n"/>
      <c r="D177" s="18" t="n"/>
      <c r="E177" s="18" t="n"/>
      <c r="F177" s="18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5.75" customHeight="1" s="42">
      <c r="A178" s="4" t="n"/>
      <c r="B178" s="23" t="n"/>
      <c r="C178" s="18" t="n"/>
      <c r="D178" s="18" t="n"/>
      <c r="E178" s="18" t="n"/>
      <c r="F178" s="18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5.75" customHeight="1" s="42">
      <c r="A179" s="4" t="n"/>
      <c r="B179" s="23" t="n"/>
      <c r="C179" s="18" t="n"/>
      <c r="D179" s="18" t="n"/>
      <c r="E179" s="18" t="n"/>
      <c r="F179" s="18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5.75" customHeight="1" s="42">
      <c r="A180" s="4" t="n"/>
      <c r="B180" s="23" t="n"/>
      <c r="C180" s="18" t="n"/>
      <c r="D180" s="18" t="n"/>
      <c r="E180" s="18" t="n"/>
      <c r="F180" s="18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5.75" customHeight="1" s="42">
      <c r="A181" s="4" t="n"/>
      <c r="B181" s="23" t="n"/>
      <c r="C181" s="18" t="n"/>
      <c r="D181" s="18" t="n"/>
      <c r="E181" s="18" t="n"/>
      <c r="F181" s="18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5.75" customHeight="1" s="42">
      <c r="A182" s="4" t="n"/>
      <c r="B182" s="23" t="n"/>
      <c r="C182" s="18" t="n"/>
      <c r="D182" s="18" t="n"/>
      <c r="E182" s="18" t="n"/>
      <c r="F182" s="18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5.75" customHeight="1" s="42">
      <c r="A183" s="4" t="n"/>
      <c r="B183" s="23" t="n"/>
      <c r="C183" s="18" t="n"/>
      <c r="D183" s="18" t="n"/>
      <c r="E183" s="18" t="n"/>
      <c r="F183" s="18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5.75" customHeight="1" s="42">
      <c r="A184" s="4" t="n"/>
      <c r="B184" s="23" t="n"/>
      <c r="C184" s="18" t="n"/>
      <c r="D184" s="18" t="n"/>
      <c r="E184" s="18" t="n"/>
      <c r="F184" s="18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5.75" customHeight="1" s="42">
      <c r="A185" s="4" t="n"/>
      <c r="B185" s="23" t="n"/>
      <c r="C185" s="18" t="n"/>
      <c r="D185" s="18" t="n"/>
      <c r="E185" s="18" t="n"/>
      <c r="F185" s="18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5.75" customHeight="1" s="42">
      <c r="A186" s="4" t="n"/>
      <c r="B186" s="23" t="n"/>
      <c r="C186" s="18" t="n"/>
      <c r="D186" s="18" t="n"/>
      <c r="E186" s="18" t="n"/>
      <c r="F186" s="18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5.75" customHeight="1" s="42">
      <c r="A187" s="4" t="n"/>
      <c r="B187" s="23" t="n"/>
      <c r="C187" s="18" t="n"/>
      <c r="D187" s="18" t="n"/>
      <c r="E187" s="18" t="n"/>
      <c r="F187" s="18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5.75" customHeight="1" s="42">
      <c r="A188" s="4" t="n"/>
      <c r="B188" s="23" t="n"/>
      <c r="C188" s="18" t="n"/>
      <c r="D188" s="18" t="n"/>
      <c r="E188" s="18" t="n"/>
      <c r="F188" s="18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5.75" customHeight="1" s="42">
      <c r="A189" s="4" t="n"/>
      <c r="B189" s="23" t="n"/>
      <c r="C189" s="18" t="n"/>
      <c r="D189" s="18" t="n"/>
      <c r="E189" s="18" t="n"/>
      <c r="F189" s="18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5.75" customHeight="1" s="42">
      <c r="A190" s="4" t="n"/>
      <c r="B190" s="23" t="n"/>
      <c r="C190" s="18" t="n"/>
      <c r="D190" s="18" t="n"/>
      <c r="E190" s="18" t="n"/>
      <c r="F190" s="18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5.75" customHeight="1" s="42">
      <c r="A191" s="4" t="n"/>
      <c r="B191" s="23" t="n"/>
      <c r="C191" s="18" t="n"/>
      <c r="D191" s="18" t="n"/>
      <c r="E191" s="18" t="n"/>
      <c r="F191" s="18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5.75" customHeight="1" s="42">
      <c r="A192" s="4" t="n"/>
      <c r="B192" s="23" t="n"/>
      <c r="C192" s="18" t="n"/>
      <c r="D192" s="18" t="n"/>
      <c r="E192" s="18" t="n"/>
      <c r="F192" s="18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5.75" customHeight="1" s="42">
      <c r="A193" s="4" t="n"/>
      <c r="B193" s="23" t="n"/>
      <c r="C193" s="18" t="n"/>
      <c r="D193" s="18" t="n"/>
      <c r="E193" s="18" t="n"/>
      <c r="F193" s="18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5.75" customHeight="1" s="42">
      <c r="A194" s="4" t="n"/>
      <c r="B194" s="23" t="n"/>
      <c r="C194" s="18" t="n"/>
      <c r="D194" s="18" t="n"/>
      <c r="E194" s="18" t="n"/>
      <c r="F194" s="18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5.75" customHeight="1" s="42">
      <c r="A195" s="4" t="n"/>
      <c r="B195" s="23" t="n"/>
      <c r="C195" s="18" t="n"/>
      <c r="D195" s="18" t="n"/>
      <c r="E195" s="18" t="n"/>
      <c r="F195" s="18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5.75" customHeight="1" s="42">
      <c r="A196" s="4" t="n"/>
      <c r="B196" s="23" t="n"/>
      <c r="C196" s="18" t="n"/>
      <c r="D196" s="18" t="n"/>
      <c r="E196" s="18" t="n"/>
      <c r="F196" s="18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5.75" customHeight="1" s="42">
      <c r="A197" s="4" t="n"/>
      <c r="B197" s="23" t="n"/>
      <c r="C197" s="18" t="n"/>
      <c r="D197" s="18" t="n"/>
      <c r="E197" s="18" t="n"/>
      <c r="F197" s="18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5.75" customHeight="1" s="42">
      <c r="A198" s="4" t="n"/>
      <c r="B198" s="23" t="n"/>
      <c r="C198" s="18" t="n"/>
      <c r="D198" s="18" t="n"/>
      <c r="E198" s="18" t="n"/>
      <c r="F198" s="18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5.75" customHeight="1" s="42">
      <c r="A199" s="4" t="n"/>
      <c r="B199" s="23" t="n"/>
      <c r="C199" s="18" t="n"/>
      <c r="D199" s="18" t="n"/>
      <c r="E199" s="18" t="n"/>
      <c r="F199" s="18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5.75" customHeight="1" s="42">
      <c r="A200" s="4" t="n"/>
      <c r="B200" s="23" t="n"/>
      <c r="C200" s="18" t="n"/>
      <c r="D200" s="18" t="n"/>
      <c r="E200" s="18" t="n"/>
      <c r="F200" s="18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5.75" customHeight="1" s="42">
      <c r="A201" s="4" t="n"/>
      <c r="B201" s="23" t="n"/>
      <c r="C201" s="18" t="n"/>
      <c r="D201" s="18" t="n"/>
      <c r="E201" s="18" t="n"/>
      <c r="F201" s="18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5.75" customHeight="1" s="42">
      <c r="A202" s="4" t="n"/>
      <c r="B202" s="23" t="n"/>
      <c r="C202" s="18" t="n"/>
      <c r="D202" s="18" t="n"/>
      <c r="E202" s="18" t="n"/>
      <c r="F202" s="18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5.75" customHeight="1" s="42">
      <c r="A203" s="4" t="n"/>
      <c r="B203" s="23" t="n"/>
      <c r="C203" s="18" t="n"/>
      <c r="D203" s="18" t="n"/>
      <c r="E203" s="18" t="n"/>
      <c r="F203" s="18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5.75" customHeight="1" s="42">
      <c r="A204" s="4" t="n"/>
      <c r="B204" s="23" t="n"/>
      <c r="C204" s="18" t="n"/>
      <c r="D204" s="18" t="n"/>
      <c r="E204" s="18" t="n"/>
      <c r="F204" s="18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5.75" customHeight="1" s="42">
      <c r="A205" s="4" t="n"/>
      <c r="B205" s="23" t="n"/>
      <c r="C205" s="18" t="n"/>
      <c r="D205" s="18" t="n"/>
      <c r="E205" s="18" t="n"/>
      <c r="F205" s="18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5.75" customHeight="1" s="42">
      <c r="A206" s="4" t="n"/>
      <c r="B206" s="23" t="n"/>
      <c r="C206" s="18" t="n"/>
      <c r="D206" s="18" t="n"/>
      <c r="E206" s="18" t="n"/>
      <c r="F206" s="18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5.75" customHeight="1" s="42">
      <c r="A207" s="4" t="n"/>
      <c r="B207" s="23" t="n"/>
      <c r="C207" s="18" t="n"/>
      <c r="D207" s="18" t="n"/>
      <c r="E207" s="18" t="n"/>
      <c r="F207" s="18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5.75" customHeight="1" s="42">
      <c r="A208" s="4" t="n"/>
      <c r="B208" s="23" t="n"/>
      <c r="C208" s="18" t="n"/>
      <c r="D208" s="18" t="n"/>
      <c r="E208" s="18" t="n"/>
      <c r="F208" s="18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5.75" customHeight="1" s="42">
      <c r="A209" s="4" t="n"/>
      <c r="B209" s="23" t="n"/>
      <c r="C209" s="18" t="n"/>
      <c r="D209" s="18" t="n"/>
      <c r="E209" s="18" t="n"/>
      <c r="F209" s="18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5.75" customHeight="1" s="42">
      <c r="A210" s="4" t="n"/>
      <c r="B210" s="23" t="n"/>
      <c r="C210" s="18" t="n"/>
      <c r="D210" s="18" t="n"/>
      <c r="E210" s="18" t="n"/>
      <c r="F210" s="18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5.75" customHeight="1" s="42">
      <c r="A211" s="4" t="n"/>
      <c r="B211" s="23" t="n"/>
      <c r="C211" s="18" t="n"/>
      <c r="D211" s="18" t="n"/>
      <c r="E211" s="18" t="n"/>
      <c r="F211" s="18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5.75" customHeight="1" s="42">
      <c r="A212" s="4" t="n"/>
      <c r="B212" s="23" t="n"/>
      <c r="C212" s="18" t="n"/>
      <c r="D212" s="18" t="n"/>
      <c r="E212" s="18" t="n"/>
      <c r="F212" s="18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5.75" customHeight="1" s="42">
      <c r="A213" s="4" t="n"/>
      <c r="B213" s="23" t="n"/>
      <c r="C213" s="18" t="n"/>
      <c r="D213" s="18" t="n"/>
      <c r="E213" s="18" t="n"/>
      <c r="F213" s="18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5.75" customHeight="1" s="42">
      <c r="A214" s="4" t="n"/>
      <c r="B214" s="23" t="n"/>
      <c r="C214" s="18" t="n"/>
      <c r="D214" s="18" t="n"/>
      <c r="E214" s="18" t="n"/>
      <c r="F214" s="18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5.75" customHeight="1" s="42">
      <c r="A215" s="4" t="n"/>
      <c r="B215" s="23" t="n"/>
      <c r="C215" s="18" t="n"/>
      <c r="D215" s="18" t="n"/>
      <c r="E215" s="18" t="n"/>
      <c r="F215" s="18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5.75" customHeight="1" s="42">
      <c r="A216" s="4" t="n"/>
      <c r="B216" s="23" t="n"/>
      <c r="C216" s="18" t="n"/>
      <c r="D216" s="18" t="n"/>
      <c r="E216" s="18" t="n"/>
      <c r="F216" s="18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5.75" customHeight="1" s="42">
      <c r="A217" s="4" t="n"/>
      <c r="B217" s="23" t="n"/>
      <c r="C217" s="18" t="n"/>
      <c r="D217" s="18" t="n"/>
      <c r="E217" s="18" t="n"/>
      <c r="F217" s="18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5.75" customHeight="1" s="42">
      <c r="A218" s="4" t="n"/>
      <c r="B218" s="23" t="n"/>
      <c r="C218" s="18" t="n"/>
      <c r="D218" s="18" t="n"/>
      <c r="E218" s="18" t="n"/>
      <c r="F218" s="18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5.75" customHeight="1" s="42">
      <c r="A219" s="4" t="n"/>
      <c r="B219" s="23" t="n"/>
      <c r="C219" s="18" t="n"/>
      <c r="D219" s="18" t="n"/>
      <c r="E219" s="18" t="n"/>
      <c r="F219" s="18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5.75" customHeight="1" s="42">
      <c r="A220" s="4" t="n"/>
      <c r="B220" s="23" t="n"/>
      <c r="C220" s="18" t="n"/>
      <c r="D220" s="18" t="n"/>
      <c r="E220" s="18" t="n"/>
      <c r="F220" s="18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5.75" customHeight="1" s="42">
      <c r="A221" s="4" t="n"/>
      <c r="B221" s="23" t="n"/>
      <c r="C221" s="18" t="n"/>
      <c r="D221" s="18" t="n"/>
      <c r="E221" s="18" t="n"/>
      <c r="F221" s="18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5.75" customHeight="1" s="42">
      <c r="A222" s="4" t="n"/>
      <c r="B222" s="23" t="n"/>
      <c r="C222" s="18" t="n"/>
      <c r="D222" s="18" t="n"/>
      <c r="E222" s="18" t="n"/>
      <c r="F222" s="18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5.75" customHeight="1" s="42">
      <c r="A223" s="4" t="n"/>
      <c r="B223" s="23" t="n"/>
      <c r="C223" s="18" t="n"/>
      <c r="D223" s="18" t="n"/>
      <c r="E223" s="18" t="n"/>
      <c r="F223" s="18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5.75" customHeight="1" s="42">
      <c r="A224" s="4" t="n"/>
      <c r="B224" s="23" t="n"/>
      <c r="C224" s="18" t="n"/>
      <c r="D224" s="18" t="n"/>
      <c r="E224" s="18" t="n"/>
      <c r="F224" s="18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5.75" customHeight="1" s="42">
      <c r="A225" s="4" t="n"/>
      <c r="B225" s="23" t="n"/>
      <c r="C225" s="18" t="n"/>
      <c r="D225" s="18" t="n"/>
      <c r="E225" s="18" t="n"/>
      <c r="F225" s="18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5.75" customHeight="1" s="4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5.75" customHeight="1" s="4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5.75" customHeight="1" s="4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5.75" customHeight="1" s="4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5.75" customHeight="1" s="4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5.75" customHeight="1" s="4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5.75" customHeight="1" s="4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5.75" customHeight="1" s="4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5.75" customHeight="1" s="4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5.75" customHeight="1" s="4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5.75" customHeight="1" s="4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5.75" customHeight="1" s="4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5.75" customHeight="1" s="4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5.75" customHeight="1" s="4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5.75" customHeight="1" s="4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5.75" customHeight="1" s="4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5.75" customHeight="1" s="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5.75" customHeight="1" s="4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5.75" customHeight="1" s="4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5.75" customHeight="1" s="4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5.75" customHeight="1" s="4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5.75" customHeight="1" s="4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5.75" customHeight="1" s="4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5.75" customHeight="1" s="4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5.75" customHeight="1" s="4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5.75" customHeight="1" s="4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5.75" customHeight="1" s="4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5.75" customHeight="1" s="4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5.75" customHeight="1" s="4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5.75" customHeight="1" s="4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5.75" customHeight="1" s="4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5.75" customHeight="1" s="4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5.75" customHeight="1" s="4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5.75" customHeight="1" s="4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5.75" customHeight="1" s="4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5.75" customHeight="1" s="4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5.75" customHeight="1" s="4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5.75" customHeight="1" s="4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5.75" customHeight="1" s="4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5.75" customHeight="1" s="4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5.75" customHeight="1" s="4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5.75" customHeight="1" s="4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5.75" customHeight="1" s="4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5.75" customHeight="1" s="4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5.75" customHeight="1" s="4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5.75" customHeight="1" s="4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5.75" customHeight="1" s="4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5.75" customHeight="1" s="4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5.75" customHeight="1" s="4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5.75" customHeight="1" s="4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5.75" customHeight="1" s="4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5.75" customHeight="1" s="4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5.75" customHeight="1" s="4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5.75" customHeight="1" s="4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5.75" customHeight="1" s="4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5.75" customHeight="1" s="4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5.75" customHeight="1" s="4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5.75" customHeight="1" s="4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5.75" customHeight="1" s="4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5.75" customHeight="1" s="4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5.75" customHeight="1" s="4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5.75" customHeight="1" s="4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5.75" customHeight="1" s="4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5.75" customHeight="1" s="4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5.75" customHeight="1" s="4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5.75" customHeight="1" s="4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5.75" customHeight="1" s="4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5.75" customHeight="1" s="4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5.75" customHeight="1" s="4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5.75" customHeight="1" s="4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5.75" customHeight="1" s="4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5.75" customHeight="1" s="4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5.75" customHeight="1" s="4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5.75" customHeight="1" s="4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5.75" customHeight="1" s="4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5.75" customHeight="1" s="4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5.75" customHeight="1" s="4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5.75" customHeight="1" s="4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5.75" customHeight="1" s="4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5.75" customHeight="1" s="4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5.75" customHeight="1" s="4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5.75" customHeight="1" s="4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5.75" customHeight="1" s="4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5.75" customHeight="1" s="4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5.75" customHeight="1" s="4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5.75" customHeight="1" s="4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5.75" customHeight="1" s="4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5.75" customHeight="1" s="4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5.75" customHeight="1" s="4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5.75" customHeight="1" s="4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5.75" customHeight="1" s="4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5.75" customHeight="1" s="4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5.75" customHeight="1" s="4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5.75" customHeight="1" s="4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5.75" customHeight="1" s="4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5.75" customHeight="1" s="4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5.75" customHeight="1" s="4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5.75" customHeight="1" s="4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5.75" customHeight="1" s="4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5.75" customHeight="1" s="4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5.75" customHeight="1" s="4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5.75" customHeight="1" s="4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5.75" customHeight="1" s="4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5.75" customHeight="1" s="4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5.75" customHeight="1" s="4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5.75" customHeight="1" s="4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5.75" customHeight="1" s="4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5.75" customHeight="1" s="4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5.75" customHeight="1" s="4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5.75" customHeight="1" s="4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5.75" customHeight="1" s="4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5.75" customHeight="1" s="4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5.75" customHeight="1" s="4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5.75" customHeight="1" s="4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5.75" customHeight="1" s="4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5.75" customHeight="1" s="4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5.75" customHeight="1" s="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5.75" customHeight="1" s="4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5.75" customHeight="1" s="4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5.75" customHeight="1" s="4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5.75" customHeight="1" s="4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5.75" customHeight="1" s="4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5.75" customHeight="1" s="4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5.75" customHeight="1" s="4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5.75" customHeight="1" s="4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5.75" customHeight="1" s="4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5.75" customHeight="1" s="4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5.75" customHeight="1" s="4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5.75" customHeight="1" s="4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5.75" customHeight="1" s="4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5.75" customHeight="1" s="4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5.75" customHeight="1" s="4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5.75" customHeight="1" s="4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5.75" customHeight="1" s="4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5.75" customHeight="1" s="4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5.75" customHeight="1" s="4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5.75" customHeight="1" s="4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5.75" customHeight="1" s="4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5.75" customHeight="1" s="4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5.75" customHeight="1" s="4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5.75" customHeight="1" s="4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5.75" customHeight="1" s="4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5.75" customHeight="1" s="4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5.75" customHeight="1" s="4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5.75" customHeight="1" s="4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5.75" customHeight="1" s="4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5.75" customHeight="1" s="4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5.75" customHeight="1" s="4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5.75" customHeight="1" s="4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5.75" customHeight="1" s="4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5.75" customHeight="1" s="4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5.75" customHeight="1" s="4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5.75" customHeight="1" s="4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5.75" customHeight="1" s="4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5.75" customHeight="1" s="4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5.75" customHeight="1" s="4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5.75" customHeight="1" s="4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5.75" customHeight="1" s="4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5.75" customHeight="1" s="4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5.75" customHeight="1" s="4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5.75" customHeight="1" s="4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5.75" customHeight="1" s="4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5.75" customHeight="1" s="4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5.75" customHeight="1" s="4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5.75" customHeight="1" s="4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5.75" customHeight="1" s="4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5.75" customHeight="1" s="4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5.75" customHeight="1" s="4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5.75" customHeight="1" s="4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5.75" customHeight="1" s="4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5.75" customHeight="1" s="4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5.75" customHeight="1" s="4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5.75" customHeight="1" s="4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5.75" customHeight="1" s="4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5.75" customHeight="1" s="4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5.75" customHeight="1" s="4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5.75" customHeight="1" s="4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5.75" customHeight="1" s="4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5.75" customHeight="1" s="4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5.75" customHeight="1" s="4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5.75" customHeight="1" s="4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5.75" customHeight="1" s="4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5.75" customHeight="1" s="4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5.75" customHeight="1" s="4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5.75" customHeight="1" s="4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5.75" customHeight="1" s="4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5.75" customHeight="1" s="4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5.75" customHeight="1" s="4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5.75" customHeight="1" s="4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5.75" customHeight="1" s="4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5.75" customHeight="1" s="4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5.75" customHeight="1" s="4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5.75" customHeight="1" s="4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5.75" customHeight="1" s="4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5.75" customHeight="1" s="4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5.75" customHeight="1" s="4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5.75" customHeight="1" s="4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5.75" customHeight="1" s="4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5.75" customHeight="1" s="4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5.75" customHeight="1" s="4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5.75" customHeight="1" s="4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5.75" customHeight="1" s="4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5.75" customHeight="1" s="4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5.75" customHeight="1" s="4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5.75" customHeight="1" s="4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5.75" customHeight="1" s="4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5.75" customHeight="1" s="4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5.75" customHeight="1" s="4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5.75" customHeight="1" s="4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5.75" customHeight="1" s="4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5.75" customHeight="1" s="4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5.75" customHeight="1" s="4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5.75" customHeight="1" s="4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5.75" customHeight="1" s="4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5.75" customHeight="1" s="4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5.75" customHeight="1" s="4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5.75" customHeight="1" s="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5.75" customHeight="1" s="4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5.75" customHeight="1" s="4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5.75" customHeight="1" s="4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5.75" customHeight="1" s="4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5.75" customHeight="1" s="4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5.75" customHeight="1" s="4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5.75" customHeight="1" s="4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5.75" customHeight="1" s="4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5.75" customHeight="1" s="4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5.75" customHeight="1" s="4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5.75" customHeight="1" s="4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5.75" customHeight="1" s="4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5.75" customHeight="1" s="4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5.75" customHeight="1" s="4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5.75" customHeight="1" s="4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5.75" customHeight="1" s="4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5.75" customHeight="1" s="4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5.75" customHeight="1" s="4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5.75" customHeight="1" s="4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5.75" customHeight="1" s="4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5.75" customHeight="1" s="4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5.75" customHeight="1" s="4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5.75" customHeight="1" s="4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5.75" customHeight="1" s="4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5.75" customHeight="1" s="4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5.75" customHeight="1" s="4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5.75" customHeight="1" s="4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5.75" customHeight="1" s="4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5.75" customHeight="1" s="4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5.75" customHeight="1" s="4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5.75" customHeight="1" s="4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5.75" customHeight="1" s="4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5.75" customHeight="1" s="4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5.75" customHeight="1" s="4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5.75" customHeight="1" s="4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5.75" customHeight="1" s="4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5.75" customHeight="1" s="4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5.75" customHeight="1" s="4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5.75" customHeight="1" s="4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5.75" customHeight="1" s="4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5.75" customHeight="1" s="4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5.75" customHeight="1" s="4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5.75" customHeight="1" s="4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5.75" customHeight="1" s="4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5.75" customHeight="1" s="4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5.75" customHeight="1" s="4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5.75" customHeight="1" s="4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5.75" customHeight="1" s="4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5.75" customHeight="1" s="4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5.75" customHeight="1" s="4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5.75" customHeight="1" s="4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5.75" customHeight="1" s="4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5.75" customHeight="1" s="4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5.75" customHeight="1" s="4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5.75" customHeight="1" s="4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5.75" customHeight="1" s="4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5.75" customHeight="1" s="4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5.75" customHeight="1" s="4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5.75" customHeight="1" s="4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5.75" customHeight="1" s="4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5.75" customHeight="1" s="4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5.75" customHeight="1" s="4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5.75" customHeight="1" s="4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5.75" customHeight="1" s="4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5.75" customHeight="1" s="4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5.75" customHeight="1" s="4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5.75" customHeight="1" s="4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5.75" customHeight="1" s="4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5.75" customHeight="1" s="4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5.75" customHeight="1" s="4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5.75" customHeight="1" s="4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5.75" customHeight="1" s="4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5.75" customHeight="1" s="4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5.75" customHeight="1" s="4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5.75" customHeight="1" s="4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5.75" customHeight="1" s="4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5.75" customHeight="1" s="4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5.75" customHeight="1" s="4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5.75" customHeight="1" s="4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5.75" customHeight="1" s="4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5.75" customHeight="1" s="4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5.75" customHeight="1" s="4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5.75" customHeight="1" s="4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5.75" customHeight="1" s="4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5.75" customHeight="1" s="4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5.75" customHeight="1" s="4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5.75" customHeight="1" s="4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5.75" customHeight="1" s="4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5.75" customHeight="1" s="4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5.75" customHeight="1" s="4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5.75" customHeight="1" s="4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5.75" customHeight="1" s="4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5.75" customHeight="1" s="4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5.75" customHeight="1" s="4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5.75" customHeight="1" s="4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5.75" customHeight="1" s="4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5.75" customHeight="1" s="4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5.75" customHeight="1" s="4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5.75" customHeight="1" s="4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5.75" customHeight="1" s="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5.75" customHeight="1" s="4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5.75" customHeight="1" s="4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5.75" customHeight="1" s="4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5.75" customHeight="1" s="4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5.75" customHeight="1" s="4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5.75" customHeight="1" s="4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5.75" customHeight="1" s="4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5.75" customHeight="1" s="4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5.75" customHeight="1" s="4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5.75" customHeight="1" s="4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5.75" customHeight="1" s="4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5.75" customHeight="1" s="4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5.75" customHeight="1" s="4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5.75" customHeight="1" s="4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5.75" customHeight="1" s="4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5.75" customHeight="1" s="4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5.75" customHeight="1" s="4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5.75" customHeight="1" s="4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5.75" customHeight="1" s="4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5.75" customHeight="1" s="4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5.75" customHeight="1" s="4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5.75" customHeight="1" s="4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5.75" customHeight="1" s="4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5.75" customHeight="1" s="4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5.75" customHeight="1" s="4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5.75" customHeight="1" s="4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5.75" customHeight="1" s="4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5.75" customHeight="1" s="4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5.75" customHeight="1" s="4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5.75" customHeight="1" s="4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5.75" customHeight="1" s="4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5.75" customHeight="1" s="4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5.75" customHeight="1" s="4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5.75" customHeight="1" s="4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5.75" customHeight="1" s="4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5.75" customHeight="1" s="4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5.75" customHeight="1" s="4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5.75" customHeight="1" s="4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5.75" customHeight="1" s="4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5.75" customHeight="1" s="4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5.75" customHeight="1" s="4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5.75" customHeight="1" s="4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5.75" customHeight="1" s="4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5.75" customHeight="1" s="4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5.75" customHeight="1" s="4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5.75" customHeight="1" s="4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5.75" customHeight="1" s="4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5.75" customHeight="1" s="4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5.75" customHeight="1" s="4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5.75" customHeight="1" s="4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5.75" customHeight="1" s="4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5.75" customHeight="1" s="4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5.75" customHeight="1" s="4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5.75" customHeight="1" s="4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5.75" customHeight="1" s="4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5.75" customHeight="1" s="4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5.75" customHeight="1" s="4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5.75" customHeight="1" s="4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5.75" customHeight="1" s="4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5.75" customHeight="1" s="4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5.75" customHeight="1" s="4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5.75" customHeight="1" s="4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5.75" customHeight="1" s="4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5.75" customHeight="1" s="4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5.75" customHeight="1" s="4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5.75" customHeight="1" s="4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5.75" customHeight="1" s="4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5.75" customHeight="1" s="4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5.75" customHeight="1" s="4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5.75" customHeight="1" s="4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5.75" customHeight="1" s="4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5.75" customHeight="1" s="4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5.75" customHeight="1" s="4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5.75" customHeight="1" s="4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5.75" customHeight="1" s="4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5.75" customHeight="1" s="4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5.75" customHeight="1" s="4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5.75" customHeight="1" s="4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5.75" customHeight="1" s="4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5.75" customHeight="1" s="4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5.75" customHeight="1" s="4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5.75" customHeight="1" s="4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5.75" customHeight="1" s="4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5.75" customHeight="1" s="4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5.75" customHeight="1" s="4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5.75" customHeight="1" s="4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5.75" customHeight="1" s="4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5.75" customHeight="1" s="4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5.75" customHeight="1" s="4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5.75" customHeight="1" s="4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5.75" customHeight="1" s="4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5.75" customHeight="1" s="4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5.75" customHeight="1" s="4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5.75" customHeight="1" s="4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5.75" customHeight="1" s="4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5.75" customHeight="1" s="4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5.75" customHeight="1" s="4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5.75" customHeight="1" s="4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5.75" customHeight="1" s="4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5.75" customHeight="1" s="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5.75" customHeight="1" s="4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5.75" customHeight="1" s="4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5.75" customHeight="1" s="4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5.75" customHeight="1" s="4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5.75" customHeight="1" s="4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5.75" customHeight="1" s="4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5.75" customHeight="1" s="4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5.75" customHeight="1" s="4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5.75" customHeight="1" s="4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5.75" customHeight="1" s="4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5.75" customHeight="1" s="4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5.75" customHeight="1" s="4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5.75" customHeight="1" s="4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5.75" customHeight="1" s="4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5.75" customHeight="1" s="4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5.75" customHeight="1" s="4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5.75" customHeight="1" s="4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5.75" customHeight="1" s="4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5.75" customHeight="1" s="4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5.75" customHeight="1" s="4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5.75" customHeight="1" s="4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5.75" customHeight="1" s="4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5.75" customHeight="1" s="4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5.75" customHeight="1" s="4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5.75" customHeight="1" s="4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5.75" customHeight="1" s="4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5.75" customHeight="1" s="4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5.75" customHeight="1" s="4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5.75" customHeight="1" s="4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5.75" customHeight="1" s="4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5.75" customHeight="1" s="4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5.75" customHeight="1" s="4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5.75" customHeight="1" s="4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5.75" customHeight="1" s="4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5.75" customHeight="1" s="4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5.75" customHeight="1" s="4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5.75" customHeight="1" s="4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5.75" customHeight="1" s="4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5.75" customHeight="1" s="4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5.75" customHeight="1" s="4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5.75" customHeight="1" s="4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5.75" customHeight="1" s="4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5.75" customHeight="1" s="4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5.75" customHeight="1" s="4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5.75" customHeight="1" s="4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5.75" customHeight="1" s="4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5.75" customHeight="1" s="4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5.75" customHeight="1" s="4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5.75" customHeight="1" s="4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5.75" customHeight="1" s="4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5.75" customHeight="1" s="4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5.75" customHeight="1" s="4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5.75" customHeight="1" s="4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5.75" customHeight="1" s="4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5.75" customHeight="1" s="4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5.75" customHeight="1" s="4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5.75" customHeight="1" s="4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5.75" customHeight="1" s="4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5.75" customHeight="1" s="4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5.75" customHeight="1" s="4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5.75" customHeight="1" s="4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5.75" customHeight="1" s="4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5.75" customHeight="1" s="4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5.75" customHeight="1" s="4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5.75" customHeight="1" s="4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5.75" customHeight="1" s="4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5.75" customHeight="1" s="4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5.75" customHeight="1" s="4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5.75" customHeight="1" s="4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5.75" customHeight="1" s="4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5.75" customHeight="1" s="4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5.75" customHeight="1" s="4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5.75" customHeight="1" s="4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5.75" customHeight="1" s="4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5.75" customHeight="1" s="4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5.75" customHeight="1" s="4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5.75" customHeight="1" s="4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5.75" customHeight="1" s="4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5.75" customHeight="1" s="4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5.75" customHeight="1" s="4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5.75" customHeight="1" s="4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5.75" customHeight="1" s="4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5.75" customHeight="1" s="4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5.75" customHeight="1" s="4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5.75" customHeight="1" s="4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5.75" customHeight="1" s="4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5.75" customHeight="1" s="4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5.75" customHeight="1" s="4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5.75" customHeight="1" s="4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5.75" customHeight="1" s="4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5.75" customHeight="1" s="4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5.75" customHeight="1" s="4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5.75" customHeight="1" s="4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5.75" customHeight="1" s="4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5.75" customHeight="1" s="4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5.75" customHeight="1" s="4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5.75" customHeight="1" s="4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5.75" customHeight="1" s="4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5.75" customHeight="1" s="4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5.75" customHeight="1" s="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5.75" customHeight="1" s="4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5.75" customHeight="1" s="4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5.75" customHeight="1" s="4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5.75" customHeight="1" s="4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5.75" customHeight="1" s="4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5.75" customHeight="1" s="4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5.75" customHeight="1" s="4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5.75" customHeight="1" s="4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5.75" customHeight="1" s="4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5.75" customHeight="1" s="4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5.75" customHeight="1" s="4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5.75" customHeight="1" s="4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5.75" customHeight="1" s="4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5.75" customHeight="1" s="4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5.75" customHeight="1" s="4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5.75" customHeight="1" s="4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5.75" customHeight="1" s="4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5.75" customHeight="1" s="4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5.75" customHeight="1" s="4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5.75" customHeight="1" s="4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5.75" customHeight="1" s="4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5.75" customHeight="1" s="4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5.75" customHeight="1" s="4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5.75" customHeight="1" s="4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5.75" customHeight="1" s="4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5.75" customHeight="1" s="4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5.75" customHeight="1" s="4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5.75" customHeight="1" s="4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5.75" customHeight="1" s="4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5.75" customHeight="1" s="4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5.75" customHeight="1" s="4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5.75" customHeight="1" s="4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5.75" customHeight="1" s="4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5.75" customHeight="1" s="4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5.75" customHeight="1" s="4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5.75" customHeight="1" s="4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5.75" customHeight="1" s="4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5.75" customHeight="1" s="4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5.75" customHeight="1" s="4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5.75" customHeight="1" s="4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5.75" customHeight="1" s="4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5.75" customHeight="1" s="4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5.75" customHeight="1" s="4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5.75" customHeight="1" s="4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5.75" customHeight="1" s="4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5.75" customHeight="1" s="4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5.75" customHeight="1" s="4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5.75" customHeight="1" s="4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5.75" customHeight="1" s="4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5.75" customHeight="1" s="4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5.75" customHeight="1" s="4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5.75" customHeight="1" s="4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5.75" customHeight="1" s="4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5.75" customHeight="1" s="4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5.75" customHeight="1" s="4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5.75" customHeight="1" s="4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5.75" customHeight="1" s="4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5.75" customHeight="1" s="4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5.75" customHeight="1" s="4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5.75" customHeight="1" s="4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5.75" customHeight="1" s="4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5.75" customHeight="1" s="4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5.75" customHeight="1" s="4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5.75" customHeight="1" s="4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5.75" customHeight="1" s="4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5.75" customHeight="1" s="4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5.75" customHeight="1" s="4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5.75" customHeight="1" s="4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5.75" customHeight="1" s="4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5.75" customHeight="1" s="4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5.75" customHeight="1" s="4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5.75" customHeight="1" s="4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5.75" customHeight="1" s="4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5.75" customHeight="1" s="4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5.75" customHeight="1" s="4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5.75" customHeight="1" s="4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5.75" customHeight="1" s="4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5.75" customHeight="1" s="4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5.75" customHeight="1" s="4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5.75" customHeight="1" s="4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5.75" customHeight="1" s="4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5.75" customHeight="1" s="4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5.75" customHeight="1" s="4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5.75" customHeight="1" s="4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5.75" customHeight="1" s="4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5.75" customHeight="1" s="4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5.75" customHeight="1" s="4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5.75" customHeight="1" s="4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5.75" customHeight="1" s="4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5.75" customHeight="1" s="4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5.75" customHeight="1" s="4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5.75" customHeight="1" s="4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5.75" customHeight="1" s="4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5.75" customHeight="1" s="4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5.75" customHeight="1" s="4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5.75" customHeight="1" s="4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5.75" customHeight="1" s="4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5.75" customHeight="1" s="4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5.75" customHeight="1" s="4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5.75" customHeight="1" s="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5.75" customHeight="1" s="4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5.75" customHeight="1" s="4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5.75" customHeight="1" s="4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5.75" customHeight="1" s="4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5.75" customHeight="1" s="4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5.75" customHeight="1" s="4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5.75" customHeight="1" s="4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5.75" customHeight="1" s="4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5.75" customHeight="1" s="4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5.75" customHeight="1" s="4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5.75" customHeight="1" s="4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5.75" customHeight="1" s="4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5.75" customHeight="1" s="4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5.75" customHeight="1" s="4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5.75" customHeight="1" s="4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5.75" customHeight="1" s="4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5.75" customHeight="1" s="4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5.75" customHeight="1" s="4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5.75" customHeight="1" s="4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5.75" customHeight="1" s="4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5.75" customHeight="1" s="4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5.75" customHeight="1" s="4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5.75" customHeight="1" s="4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5.75" customHeight="1" s="4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5.75" customHeight="1" s="4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5.75" customHeight="1" s="4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5.75" customHeight="1" s="4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5.75" customHeight="1" s="4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5.75" customHeight="1" s="4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5.75" customHeight="1" s="4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5.75" customHeight="1" s="4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5.75" customHeight="1" s="4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5.75" customHeight="1" s="4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5.75" customHeight="1" s="4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5.75" customHeight="1" s="4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5.75" customHeight="1" s="4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5.75" customHeight="1" s="4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5.75" customHeight="1" s="4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5.75" customHeight="1" s="4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5.75" customHeight="1" s="4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5.75" customHeight="1" s="4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5.75" customHeight="1" s="4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5.75" customHeight="1" s="4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5.75" customHeight="1" s="4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5.75" customHeight="1" s="4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5.75" customHeight="1" s="4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5.75" customHeight="1" s="4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5.75" customHeight="1" s="4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5.75" customHeight="1" s="4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5.75" customHeight="1" s="4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5.75" customHeight="1" s="4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5.75" customHeight="1" s="4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5.75" customHeight="1" s="4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5.75" customHeight="1" s="4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5.75" customHeight="1" s="4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5.75" customHeight="1" s="4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5.75" customHeight="1" s="4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5.75" customHeight="1" s="4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5.75" customHeight="1" s="4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5.75" customHeight="1" s="4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5.75" customHeight="1" s="4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5.75" customHeight="1" s="4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5.75" customHeight="1" s="4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5.75" customHeight="1" s="4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5.75" customHeight="1" s="4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5.75" customHeight="1" s="4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5.75" customHeight="1" s="4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5.75" customHeight="1" s="4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5.75" customHeight="1" s="4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5.75" customHeight="1" s="4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5.75" customHeight="1" s="4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5.75" customHeight="1" s="4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5.75" customHeight="1" s="4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5.75" customHeight="1" s="4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5.75" customHeight="1" s="4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5.75" customHeight="1" s="4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5.75" customHeight="1" s="4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5.75" customHeight="1" s="4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5.75" customHeight="1" s="4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5.75" customHeight="1" s="4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5.75" customHeight="1" s="4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5.75" customHeight="1" s="4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5.75" customHeight="1" s="4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5.75" customHeight="1" s="4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5.75" customHeight="1" s="4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5.75" customHeight="1" s="4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5.75" customHeight="1" s="4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5.75" customHeight="1" s="4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5.75" customHeight="1" s="4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5.75" customHeight="1" s="4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5.75" customHeight="1" s="4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5.75" customHeight="1" s="4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5.75" customHeight="1" s="4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5.75" customHeight="1" s="4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5.75" customHeight="1" s="4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5.75" customHeight="1" s="4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5.75" customHeight="1" s="4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5.75" customHeight="1" s="4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5.75" customHeight="1" s="4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5.75" customHeight="1" s="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5.75" customHeight="1" s="4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5.75" customHeight="1" s="4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5.75" customHeight="1" s="4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5.75" customHeight="1" s="4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5.75" customHeight="1" s="4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5.75" customHeight="1" s="4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5.75" customHeight="1" s="4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5.75" customHeight="1" s="4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5.75" customHeight="1" s="4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5.75" customHeight="1" s="4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5.75" customHeight="1" s="4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5.75" customHeight="1" s="4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5.75" customHeight="1" s="4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5.75" customHeight="1" s="4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5.75" customHeight="1" s="4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5.75" customHeight="1" s="4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5.75" customHeight="1" s="4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5.75" customHeight="1" s="4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5.75" customHeight="1" s="4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5.75" customHeight="1" s="4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5.75" customHeight="1" s="4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5.75" customHeight="1" s="4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5.75" customHeight="1" s="4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5.75" customHeight="1" s="4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5.75" customHeight="1" s="4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5.75" customHeight="1" s="4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5.75" customHeight="1" s="4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5.75" customHeight="1" s="4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5.75" customHeight="1" s="4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5.75" customHeight="1" s="4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5.75" customHeight="1" s="4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5.75" customHeight="1" s="4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5.75" customHeight="1" s="4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5.75" customHeight="1" s="4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5.75" customHeight="1" s="4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5.75" customHeight="1" s="4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5.75" customHeight="1" s="4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5.75" customHeight="1" s="4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5.75" customHeight="1" s="4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5.75" customHeight="1" s="4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5.75" customHeight="1" s="4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5.75" customHeight="1" s="4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5.75" customHeight="1" s="4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5.75" customHeight="1" s="4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5.75" customHeight="1" s="4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5.75" customHeight="1" s="4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5.75" customHeight="1" s="4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5.75" customHeight="1" s="4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5.75" customHeight="1" s="4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5.75" customHeight="1" s="4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5.75" customHeight="1" s="4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5.75" customHeight="1" s="4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5.75" customHeight="1" s="4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5.75" customHeight="1" s="4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5.75" customHeight="1" s="4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5.75" customHeight="1" s="4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5.75" customHeight="1" s="4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5.75" customHeight="1" s="4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42" min="1" max="1"/>
    <col width="24" customWidth="1" style="42" min="2" max="2"/>
    <col width="23" customWidth="1" style="42" min="3" max="3"/>
    <col width="12" customWidth="1" style="42" min="4" max="4"/>
    <col width="18" customWidth="1" style="42" min="5" max="5"/>
    <col width="16" customWidth="1" style="42" min="6" max="6"/>
    <col width="16" customWidth="1" style="42" min="7" max="7"/>
    <col width="18" customWidth="1" style="42" min="8" max="8"/>
    <col width="16" customWidth="1" style="42" min="9" max="9"/>
    <col hidden="1" width="13" customWidth="1" style="42" min="11" max="11"/>
    <col hidden="1" width="13" customWidth="1" style="42" min="12" max="12"/>
    <col hidden="1" width="13" customWidth="1" style="42" min="13" max="13"/>
    <col hidden="1" width="13" customWidth="1" style="42" min="14" max="14"/>
    <col hidden="1" width="13" customWidth="1" style="42" min="15" max="15"/>
    <col hidden="1" width="13" customWidth="1" style="42" min="16" max="16"/>
    <col hidden="1" width="13" customWidth="1" style="42" min="17" max="17"/>
    <col hidden="1" width="13" customWidth="1" style="42" min="18" max="18"/>
    <col hidden="1" width="13" customWidth="1" style="42" min="19" max="19"/>
    <col hidden="1" width="13" customWidth="1" style="42" min="20" max="20"/>
    <col hidden="1" width="13" customWidth="1" style="42" min="21" max="21"/>
    <col hidden="1" width="13" customWidth="1" style="42" min="22" max="22"/>
    <col hidden="1" width="13" customWidth="1" style="42" min="23" max="23"/>
    <col hidden="1" width="13" customWidth="1" style="42" min="24" max="24"/>
    <col hidden="1" width="13" customWidth="1" style="42" min="25" max="25"/>
    <col hidden="1" width="13" customWidth="1" style="42" min="26" max="26"/>
    <col hidden="1" width="13" customWidth="1" style="42" min="27" max="27"/>
    <col hidden="1" width="13" customWidth="1" style="42" min="28" max="28"/>
    <col hidden="1" width="13" customWidth="1" style="42" min="29" max="29"/>
    <col hidden="1" width="13" customWidth="1" style="42" min="30" max="30"/>
    <col hidden="1" width="13" customWidth="1" style="42" min="31" max="31"/>
    <col hidden="1" width="13" customWidth="1" style="42" min="32" max="32"/>
    <col hidden="1" width="13" customWidth="1" style="42" min="33" max="33"/>
    <col hidden="1" width="13" customWidth="1" style="42" min="34" max="34"/>
    <col hidden="1" width="13" customWidth="1" style="42" min="35" max="35"/>
    <col hidden="1" width="13" customWidth="1" style="42" min="36" max="36"/>
    <col hidden="1" width="13" customWidth="1" style="42" min="37" max="37"/>
    <col hidden="1" width="13" customWidth="1" style="42" min="38" max="38"/>
    <col hidden="1" width="13" customWidth="1" style="42" min="39" max="39"/>
    <col hidden="1" width="13" customWidth="1" style="42" min="40" max="40"/>
    <col hidden="1" width="13" customWidth="1" style="42" min="41" max="41"/>
    <col hidden="1" width="13" customWidth="1" style="42" min="42" max="42"/>
    <col hidden="1" width="13" customWidth="1" style="42" min="43" max="43"/>
    <col hidden="1" width="13" customWidth="1" style="42" min="44" max="44"/>
  </cols>
  <sheetData>
    <row r="1">
      <c r="A1" s="43" t="inlineStr">
        <is>
          <t>Sensitivity - Scenario DCF</t>
        </is>
      </c>
    </row>
    <row r="2">
      <c r="A2" s="44" t="inlineStr">
        <is>
          <t>Croissance CA 2026E-2030E fixee a Forecast. Sensibilite sur la marge EBIT terminale 2030, le Capex / CA terminal 2030, le WACC et la croissance terminale.</t>
        </is>
      </c>
    </row>
    <row r="4">
      <c r="A4" s="45" t="inlineStr">
        <is>
          <t>Scenario</t>
        </is>
      </c>
      <c r="B4" s="45" t="inlineStr">
        <is>
          <t>Marge EBIT terminale 2030</t>
        </is>
      </c>
      <c r="C4" s="45" t="inlineStr">
        <is>
          <t>Capex / CA terminal 2030</t>
        </is>
      </c>
      <c r="D4" s="45" t="inlineStr">
        <is>
          <t>WACC</t>
        </is>
      </c>
      <c r="E4" s="45" t="inlineStr">
        <is>
          <t>Croissance terminale</t>
        </is>
      </c>
      <c r="F4" s="45" t="inlineStr">
        <is>
          <t>EV DCF (EURm)</t>
        </is>
      </c>
      <c r="G4" s="45" t="inlineStr">
        <is>
          <t>EqV DCF (EURm)</t>
        </is>
      </c>
      <c r="H4" s="45" t="inlineStr">
        <is>
          <t>Valeur / action (EUR)</t>
        </is>
      </c>
      <c r="I4" s="45" t="inlineStr">
        <is>
          <t>Potentiel vs cours</t>
        </is>
      </c>
      <c r="K4" s="0">
        <f>A5</f>
        <v/>
      </c>
      <c r="R4" s="0">
        <f>A6</f>
        <v/>
      </c>
      <c r="Y4" s="0">
        <f>A7</f>
        <v/>
      </c>
      <c r="AF4" s="0">
        <f>A8</f>
        <v/>
      </c>
    </row>
    <row r="5">
      <c r="A5" s="46" t="inlineStr">
        <is>
          <t>Bear</t>
        </is>
      </c>
      <c r="B5" s="47">
        <f>Forecast!F8-0.015</f>
        <v/>
      </c>
      <c r="C5" s="47">
        <f>Forecast!F14+0.005</f>
        <v/>
      </c>
      <c r="D5" s="47">
        <f>WACC!B19+0.005</f>
        <v/>
      </c>
      <c r="E5" s="47">
        <f>WACC!B20-0.005</f>
        <v/>
      </c>
      <c r="F5" s="48">
        <f>K20</f>
        <v/>
      </c>
      <c r="G5" s="48">
        <f>K21</f>
        <v/>
      </c>
      <c r="H5" s="49">
        <f>K22</f>
        <v/>
      </c>
      <c r="I5" s="47">
        <f>K23</f>
        <v/>
      </c>
      <c r="K5" s="0" t="inlineStr">
        <is>
          <t>2026E</t>
        </is>
      </c>
      <c r="L5" s="0" t="inlineStr">
        <is>
          <t>2027E</t>
        </is>
      </c>
      <c r="M5" s="0" t="inlineStr">
        <is>
          <t>2028E</t>
        </is>
      </c>
      <c r="N5" s="0" t="inlineStr">
        <is>
          <t>2029E</t>
        </is>
      </c>
      <c r="O5" s="0" t="inlineStr">
        <is>
          <t>2030E</t>
        </is>
      </c>
      <c r="R5" s="0" t="inlineStr">
        <is>
          <t>2026E</t>
        </is>
      </c>
      <c r="S5" s="0" t="inlineStr">
        <is>
          <t>2027E</t>
        </is>
      </c>
      <c r="T5" s="0" t="inlineStr">
        <is>
          <t>2028E</t>
        </is>
      </c>
      <c r="U5" s="0" t="inlineStr">
        <is>
          <t>2029E</t>
        </is>
      </c>
      <c r="V5" s="0" t="inlineStr">
        <is>
          <t>2030E</t>
        </is>
      </c>
      <c r="Y5" s="0" t="inlineStr">
        <is>
          <t>2026E</t>
        </is>
      </c>
      <c r="Z5" s="0" t="inlineStr">
        <is>
          <t>2027E</t>
        </is>
      </c>
      <c r="AA5" s="0" t="inlineStr">
        <is>
          <t>2028E</t>
        </is>
      </c>
      <c r="AB5" s="0" t="inlineStr">
        <is>
          <t>2029E</t>
        </is>
      </c>
      <c r="AC5" s="0" t="inlineStr">
        <is>
          <t>2030E</t>
        </is>
      </c>
      <c r="AF5" s="0" t="inlineStr">
        <is>
          <t>2026E</t>
        </is>
      </c>
      <c r="AG5" s="0" t="inlineStr">
        <is>
          <t>2027E</t>
        </is>
      </c>
      <c r="AH5" s="0" t="inlineStr">
        <is>
          <t>2028E</t>
        </is>
      </c>
      <c r="AI5" s="0" t="inlineStr">
        <is>
          <t>2029E</t>
        </is>
      </c>
      <c r="AJ5" s="0" t="inlineStr">
        <is>
          <t>2030E</t>
        </is>
      </c>
    </row>
    <row r="6">
      <c r="A6" s="46" t="inlineStr">
        <is>
          <t>Base</t>
        </is>
      </c>
      <c r="B6" s="47">
        <f>Forecast!F8</f>
        <v/>
      </c>
      <c r="C6" s="47">
        <f>Forecast!F14</f>
        <v/>
      </c>
      <c r="D6" s="47">
        <f>WACC!B19</f>
        <v/>
      </c>
      <c r="E6" s="47">
        <f>WACC!B20</f>
        <v/>
      </c>
      <c r="F6" s="48">
        <f>R20</f>
        <v/>
      </c>
      <c r="G6" s="48">
        <f>R21</f>
        <v/>
      </c>
      <c r="H6" s="49">
        <f>R22</f>
        <v/>
      </c>
      <c r="I6" s="47">
        <f>R23</f>
        <v/>
      </c>
      <c r="K6" s="0">
        <f>Forecast!B4</f>
        <v/>
      </c>
      <c r="L6" s="0">
        <f>Forecast!C4</f>
        <v/>
      </c>
      <c r="M6" s="0">
        <f>Forecast!D4</f>
        <v/>
      </c>
      <c r="N6" s="0">
        <f>Forecast!E4</f>
        <v/>
      </c>
      <c r="O6" s="0">
        <f>Forecast!F4</f>
        <v/>
      </c>
      <c r="R6" s="0">
        <f>Forecast!B4</f>
        <v/>
      </c>
      <c r="S6" s="0">
        <f>Forecast!C4</f>
        <v/>
      </c>
      <c r="T6" s="0">
        <f>Forecast!D4</f>
        <v/>
      </c>
      <c r="U6" s="0">
        <f>Forecast!E4</f>
        <v/>
      </c>
      <c r="V6" s="0">
        <f>Forecast!F4</f>
        <v/>
      </c>
      <c r="Y6" s="0">
        <f>Forecast!B4</f>
        <v/>
      </c>
      <c r="Z6" s="0">
        <f>Forecast!C4</f>
        <v/>
      </c>
      <c r="AA6" s="0">
        <f>Forecast!D4</f>
        <v/>
      </c>
      <c r="AB6" s="0">
        <f>Forecast!E4</f>
        <v/>
      </c>
      <c r="AC6" s="0">
        <f>Forecast!F4</f>
        <v/>
      </c>
      <c r="AF6" s="0">
        <f>Forecast!B4</f>
        <v/>
      </c>
      <c r="AG6" s="0">
        <f>Forecast!C4</f>
        <v/>
      </c>
      <c r="AH6" s="0">
        <f>Forecast!D4</f>
        <v/>
      </c>
      <c r="AI6" s="0">
        <f>Forecast!E4</f>
        <v/>
      </c>
      <c r="AJ6" s="0">
        <f>Forecast!F4</f>
        <v/>
      </c>
    </row>
    <row r="7">
      <c r="A7" s="46" t="inlineStr">
        <is>
          <t>Bull</t>
        </is>
      </c>
      <c r="B7" s="47">
        <f>Forecast!F8+0.010</f>
        <v/>
      </c>
      <c r="C7" s="47">
        <f>Forecast!F14-0.005</f>
        <v/>
      </c>
      <c r="D7" s="47">
        <f>WACC!B19-0.005</f>
        <v/>
      </c>
      <c r="E7" s="47">
        <f>WACC!B20+0.005</f>
        <v/>
      </c>
      <c r="F7" s="48">
        <f>Y20</f>
        <v/>
      </c>
      <c r="G7" s="48">
        <f>Y21</f>
        <v/>
      </c>
      <c r="H7" s="49">
        <f>Y22</f>
        <v/>
      </c>
      <c r="I7" s="47">
        <f>Y23</f>
        <v/>
      </c>
      <c r="K7" s="0">
        <f>Forecast!B8</f>
        <v/>
      </c>
      <c r="L7" s="0">
        <f>Forecast!$B$8+(($B5-Forecast!$B$8)*1/4)</f>
        <v/>
      </c>
      <c r="M7" s="0">
        <f>Forecast!$B$8+(($B5-Forecast!$B$8)*2/4)</f>
        <v/>
      </c>
      <c r="N7" s="0">
        <f>Forecast!$B$8+(($B5-Forecast!$B$8)*3/4)</f>
        <v/>
      </c>
      <c r="O7" s="0">
        <f>Forecast!$B$8+(($B5-Forecast!$B$8)*4/4)</f>
        <v/>
      </c>
      <c r="R7" s="0">
        <f>Forecast!B8</f>
        <v/>
      </c>
      <c r="S7" s="0">
        <f>Forecast!$B$8+(($B6-Forecast!$B$8)*1/4)</f>
        <v/>
      </c>
      <c r="T7" s="0">
        <f>Forecast!$B$8+(($B6-Forecast!$B$8)*2/4)</f>
        <v/>
      </c>
      <c r="U7" s="0">
        <f>Forecast!$B$8+(($B6-Forecast!$B$8)*3/4)</f>
        <v/>
      </c>
      <c r="V7" s="0">
        <f>Forecast!$B$8+(($B6-Forecast!$B$8)*4/4)</f>
        <v/>
      </c>
      <c r="Y7" s="0">
        <f>Forecast!B8</f>
        <v/>
      </c>
      <c r="Z7" s="0">
        <f>Forecast!$B$8+(($B7-Forecast!$B$8)*1/4)</f>
        <v/>
      </c>
      <c r="AA7" s="0">
        <f>Forecast!$B$8+(($B7-Forecast!$B$8)*2/4)</f>
        <v/>
      </c>
      <c r="AB7" s="0">
        <f>Forecast!$B$8+(($B7-Forecast!$B$8)*3/4)</f>
        <v/>
      </c>
      <c r="AC7" s="0">
        <f>Forecast!$B$8+(($B7-Forecast!$B$8)*4/4)</f>
        <v/>
      </c>
      <c r="AF7" s="0">
        <f>Forecast!B8</f>
        <v/>
      </c>
      <c r="AG7" s="0">
        <f>Forecast!$B$8+(($B8-Forecast!$B$8)*1/4)</f>
        <v/>
      </c>
      <c r="AH7" s="0">
        <f>Forecast!$B$8+(($B8-Forecast!$B$8)*2/4)</f>
        <v/>
      </c>
      <c r="AI7" s="0">
        <f>Forecast!$B$8+(($B8-Forecast!$B$8)*3/4)</f>
        <v/>
      </c>
      <c r="AJ7" s="0">
        <f>Forecast!$B$8+(($B8-Forecast!$B$8)*4/4)</f>
        <v/>
      </c>
    </row>
    <row r="8">
      <c r="A8" s="50" t="inlineStr">
        <is>
          <t>Custom</t>
        </is>
      </c>
      <c r="B8" s="51" t="n">
        <v>0.12</v>
      </c>
      <c r="C8" s="51" t="n">
        <v>0.07000000000000001</v>
      </c>
      <c r="D8" s="51" t="n">
        <v>0.08799999999999999</v>
      </c>
      <c r="E8" s="51" t="n">
        <v>0.015</v>
      </c>
      <c r="F8" s="48">
        <f>AF20</f>
        <v/>
      </c>
      <c r="G8" s="48">
        <f>AF21</f>
        <v/>
      </c>
      <c r="H8" s="49">
        <f>AF22</f>
        <v/>
      </c>
      <c r="I8" s="47">
        <f>AF23</f>
        <v/>
      </c>
      <c r="K8" s="0">
        <f>K6*K7</f>
        <v/>
      </c>
      <c r="L8" s="0">
        <f>L6*L7</f>
        <v/>
      </c>
      <c r="M8" s="0">
        <f>M6*M7</f>
        <v/>
      </c>
      <c r="N8" s="0">
        <f>N6*N7</f>
        <v/>
      </c>
      <c r="O8" s="0">
        <f>O6*O7</f>
        <v/>
      </c>
      <c r="R8" s="0">
        <f>R6*R7</f>
        <v/>
      </c>
      <c r="S8" s="0">
        <f>S6*S7</f>
        <v/>
      </c>
      <c r="T8" s="0">
        <f>T6*T7</f>
        <v/>
      </c>
      <c r="U8" s="0">
        <f>U6*U7</f>
        <v/>
      </c>
      <c r="V8" s="0">
        <f>V6*V7</f>
        <v/>
      </c>
      <c r="Y8" s="0">
        <f>Y6*Y7</f>
        <v/>
      </c>
      <c r="Z8" s="0">
        <f>Z6*Z7</f>
        <v/>
      </c>
      <c r="AA8" s="0">
        <f>AA6*AA7</f>
        <v/>
      </c>
      <c r="AB8" s="0">
        <f>AB6*AB7</f>
        <v/>
      </c>
      <c r="AC8" s="0">
        <f>AC6*AC7</f>
        <v/>
      </c>
      <c r="AF8" s="0">
        <f>AF6*AF7</f>
        <v/>
      </c>
      <c r="AG8" s="0">
        <f>AG6*AG7</f>
        <v/>
      </c>
      <c r="AH8" s="0">
        <f>AH6*AH7</f>
        <v/>
      </c>
      <c r="AI8" s="0">
        <f>AI6*AI7</f>
        <v/>
      </c>
      <c r="AJ8" s="0">
        <f>AJ6*AJ7</f>
        <v/>
      </c>
    </row>
    <row r="9">
      <c r="K9" s="0">
        <f>Forecast!B10</f>
        <v/>
      </c>
      <c r="L9" s="0">
        <f>Forecast!C10</f>
        <v/>
      </c>
      <c r="M9" s="0">
        <f>Forecast!D10</f>
        <v/>
      </c>
      <c r="N9" s="0">
        <f>Forecast!E10</f>
        <v/>
      </c>
      <c r="O9" s="0">
        <f>Forecast!F10</f>
        <v/>
      </c>
      <c r="R9" s="0">
        <f>Forecast!B10</f>
        <v/>
      </c>
      <c r="S9" s="0">
        <f>Forecast!C10</f>
        <v/>
      </c>
      <c r="T9" s="0">
        <f>Forecast!D10</f>
        <v/>
      </c>
      <c r="U9" s="0">
        <f>Forecast!E10</f>
        <v/>
      </c>
      <c r="V9" s="0">
        <f>Forecast!F10</f>
        <v/>
      </c>
      <c r="Y9" s="0">
        <f>Forecast!B10</f>
        <v/>
      </c>
      <c r="Z9" s="0">
        <f>Forecast!C10</f>
        <v/>
      </c>
      <c r="AA9" s="0">
        <f>Forecast!D10</f>
        <v/>
      </c>
      <c r="AB9" s="0">
        <f>Forecast!E10</f>
        <v/>
      </c>
      <c r="AC9" s="0">
        <f>Forecast!F10</f>
        <v/>
      </c>
      <c r="AF9" s="0">
        <f>Forecast!B10</f>
        <v/>
      </c>
      <c r="AG9" s="0">
        <f>Forecast!C10</f>
        <v/>
      </c>
      <c r="AH9" s="0">
        <f>Forecast!D10</f>
        <v/>
      </c>
      <c r="AI9" s="0">
        <f>Forecast!E10</f>
        <v/>
      </c>
      <c r="AJ9" s="0">
        <f>Forecast!F10</f>
        <v/>
      </c>
    </row>
    <row r="10">
      <c r="A10" s="52" t="inlineStr">
        <is>
          <t>Lecture: la croissance du CA reste celle de Forecast dans tous les cas; seuls la marge terminale, le Capex / CA terminal, le WACC et g changent.</t>
        </is>
      </c>
      <c r="B10" s="53" t="n"/>
      <c r="C10" s="53" t="n"/>
      <c r="D10" s="53" t="n"/>
      <c r="E10" s="53" t="n"/>
      <c r="F10" s="53" t="n"/>
      <c r="G10" s="53" t="n"/>
      <c r="H10" s="53" t="n"/>
      <c r="I10" s="54" t="n"/>
      <c r="K10" s="0">
        <f>K8*(1-K9)</f>
        <v/>
      </c>
      <c r="L10" s="0">
        <f>L8*(1-L9)</f>
        <v/>
      </c>
      <c r="M10" s="0">
        <f>M8*(1-M9)</f>
        <v/>
      </c>
      <c r="N10" s="0">
        <f>N8*(1-N9)</f>
        <v/>
      </c>
      <c r="O10" s="0">
        <f>O8*(1-O9)</f>
        <v/>
      </c>
      <c r="R10" s="0">
        <f>R8*(1-R9)</f>
        <v/>
      </c>
      <c r="S10" s="0">
        <f>S8*(1-S9)</f>
        <v/>
      </c>
      <c r="T10" s="0">
        <f>T8*(1-T9)</f>
        <v/>
      </c>
      <c r="U10" s="0">
        <f>U8*(1-U9)</f>
        <v/>
      </c>
      <c r="V10" s="0">
        <f>V8*(1-V9)</f>
        <v/>
      </c>
      <c r="Y10" s="0">
        <f>Y8*(1-Y9)</f>
        <v/>
      </c>
      <c r="Z10" s="0">
        <f>Z8*(1-Z9)</f>
        <v/>
      </c>
      <c r="AA10" s="0">
        <f>AA8*(1-AA9)</f>
        <v/>
      </c>
      <c r="AB10" s="0">
        <f>AB8*(1-AB9)</f>
        <v/>
      </c>
      <c r="AC10" s="0">
        <f>AC8*(1-AC9)</f>
        <v/>
      </c>
      <c r="AF10" s="0">
        <f>AF8*(1-AF9)</f>
        <v/>
      </c>
      <c r="AG10" s="0">
        <f>AG8*(1-AG9)</f>
        <v/>
      </c>
      <c r="AH10" s="0">
        <f>AH8*(1-AH9)</f>
        <v/>
      </c>
      <c r="AI10" s="0">
        <f>AI8*(1-AI9)</f>
        <v/>
      </c>
      <c r="AJ10" s="0">
        <f>AJ8*(1-AJ9)</f>
        <v/>
      </c>
    </row>
    <row r="11">
      <c r="A11" s="52" t="inlineStr">
        <is>
          <t>Les trajectoires 2027E-2030E de marge et de Capex / CA sont interpolees lineairement a partir des niveaux 2026E de Forecast.</t>
        </is>
      </c>
      <c r="B11" s="53" t="n"/>
      <c r="C11" s="53" t="n"/>
      <c r="D11" s="53" t="n"/>
      <c r="E11" s="53" t="n"/>
      <c r="F11" s="53" t="n"/>
      <c r="G11" s="53" t="n"/>
      <c r="H11" s="53" t="n"/>
      <c r="I11" s="54" t="n"/>
      <c r="K11" s="0">
        <f>K6*Forecast!B12</f>
        <v/>
      </c>
      <c r="L11" s="0">
        <f>L6*Forecast!C12</f>
        <v/>
      </c>
      <c r="M11" s="0">
        <f>M6*Forecast!D12</f>
        <v/>
      </c>
      <c r="N11" s="0">
        <f>N6*Forecast!E12</f>
        <v/>
      </c>
      <c r="O11" s="0">
        <f>O6*Forecast!F12</f>
        <v/>
      </c>
      <c r="R11" s="0">
        <f>R6*Forecast!B12</f>
        <v/>
      </c>
      <c r="S11" s="0">
        <f>S6*Forecast!C12</f>
        <v/>
      </c>
      <c r="T11" s="0">
        <f>T6*Forecast!D12</f>
        <v/>
      </c>
      <c r="U11" s="0">
        <f>U6*Forecast!E12</f>
        <v/>
      </c>
      <c r="V11" s="0">
        <f>V6*Forecast!F12</f>
        <v/>
      </c>
      <c r="Y11" s="0">
        <f>Y6*Forecast!B12</f>
        <v/>
      </c>
      <c r="Z11" s="0">
        <f>Z6*Forecast!C12</f>
        <v/>
      </c>
      <c r="AA11" s="0">
        <f>AA6*Forecast!D12</f>
        <v/>
      </c>
      <c r="AB11" s="0">
        <f>AB6*Forecast!E12</f>
        <v/>
      </c>
      <c r="AC11" s="0">
        <f>AC6*Forecast!F12</f>
        <v/>
      </c>
      <c r="AF11" s="0">
        <f>AF6*Forecast!B12</f>
        <v/>
      </c>
      <c r="AG11" s="0">
        <f>AG6*Forecast!C12</f>
        <v/>
      </c>
      <c r="AH11" s="0">
        <f>AH6*Forecast!D12</f>
        <v/>
      </c>
      <c r="AI11" s="0">
        <f>AI6*Forecast!E12</f>
        <v/>
      </c>
      <c r="AJ11" s="0">
        <f>AJ6*Forecast!F12</f>
        <v/>
      </c>
    </row>
    <row r="12">
      <c r="K12" s="0">
        <f>Forecast!B14</f>
        <v/>
      </c>
      <c r="L12" s="0">
        <f>Forecast!$B$14+(($C5-Forecast!$B$14)*1/4)</f>
        <v/>
      </c>
      <c r="M12" s="0">
        <f>Forecast!$B$14+(($C5-Forecast!$B$14)*2/4)</f>
        <v/>
      </c>
      <c r="N12" s="0">
        <f>Forecast!$B$14+(($C5-Forecast!$B$14)*3/4)</f>
        <v/>
      </c>
      <c r="O12" s="0">
        <f>Forecast!$B$14+(($C5-Forecast!$B$14)*4/4)</f>
        <v/>
      </c>
      <c r="R12" s="0">
        <f>Forecast!B14</f>
        <v/>
      </c>
      <c r="S12" s="0">
        <f>Forecast!$B$14+(($C6-Forecast!$B$14)*1/4)</f>
        <v/>
      </c>
      <c r="T12" s="0">
        <f>Forecast!$B$14+(($C6-Forecast!$B$14)*2/4)</f>
        <v/>
      </c>
      <c r="U12" s="0">
        <f>Forecast!$B$14+(($C6-Forecast!$B$14)*3/4)</f>
        <v/>
      </c>
      <c r="V12" s="0">
        <f>Forecast!$B$14+(($C6-Forecast!$B$14)*4/4)</f>
        <v/>
      </c>
      <c r="Y12" s="0">
        <f>Forecast!B14</f>
        <v/>
      </c>
      <c r="Z12" s="0">
        <f>Forecast!$B$14+(($C7-Forecast!$B$14)*1/4)</f>
        <v/>
      </c>
      <c r="AA12" s="0">
        <f>Forecast!$B$14+(($C7-Forecast!$B$14)*2/4)</f>
        <v/>
      </c>
      <c r="AB12" s="0">
        <f>Forecast!$B$14+(($C7-Forecast!$B$14)*3/4)</f>
        <v/>
      </c>
      <c r="AC12" s="0">
        <f>Forecast!$B$14+(($C7-Forecast!$B$14)*4/4)</f>
        <v/>
      </c>
      <c r="AF12" s="0">
        <f>Forecast!B14</f>
        <v/>
      </c>
      <c r="AG12" s="0">
        <f>Forecast!$B$14+(($C8-Forecast!$B$14)*1/4)</f>
        <v/>
      </c>
      <c r="AH12" s="0">
        <f>Forecast!$B$14+(($C8-Forecast!$B$14)*2/4)</f>
        <v/>
      </c>
      <c r="AI12" s="0">
        <f>Forecast!$B$14+(($C8-Forecast!$B$14)*3/4)</f>
        <v/>
      </c>
      <c r="AJ12" s="0">
        <f>Forecast!$B$14+(($C8-Forecast!$B$14)*4/4)</f>
        <v/>
      </c>
    </row>
    <row r="13">
      <c r="K13" s="0">
        <f>K6*K12</f>
        <v/>
      </c>
      <c r="L13" s="0">
        <f>L6*L12</f>
        <v/>
      </c>
      <c r="M13" s="0">
        <f>M6*M12</f>
        <v/>
      </c>
      <c r="N13" s="0">
        <f>N6*N12</f>
        <v/>
      </c>
      <c r="O13" s="0">
        <f>O6*O12</f>
        <v/>
      </c>
      <c r="R13" s="0">
        <f>R6*R12</f>
        <v/>
      </c>
      <c r="S13" s="0">
        <f>S6*S12</f>
        <v/>
      </c>
      <c r="T13" s="0">
        <f>T6*T12</f>
        <v/>
      </c>
      <c r="U13" s="0">
        <f>U6*U12</f>
        <v/>
      </c>
      <c r="V13" s="0">
        <f>V6*V12</f>
        <v/>
      </c>
      <c r="Y13" s="0">
        <f>Y6*Y12</f>
        <v/>
      </c>
      <c r="Z13" s="0">
        <f>Z6*Z12</f>
        <v/>
      </c>
      <c r="AA13" s="0">
        <f>AA6*AA12</f>
        <v/>
      </c>
      <c r="AB13" s="0">
        <f>AB6*AB12</f>
        <v/>
      </c>
      <c r="AC13" s="0">
        <f>AC6*AC12</f>
        <v/>
      </c>
      <c r="AF13" s="0">
        <f>AF6*AF12</f>
        <v/>
      </c>
      <c r="AG13" s="0">
        <f>AG6*AG12</f>
        <v/>
      </c>
      <c r="AH13" s="0">
        <f>AH6*AH12</f>
        <v/>
      </c>
      <c r="AI13" s="0">
        <f>AI6*AI12</f>
        <v/>
      </c>
      <c r="AJ13" s="0">
        <f>AJ6*AJ12</f>
        <v/>
      </c>
    </row>
    <row r="14">
      <c r="K14" s="0">
        <f>Forecast!B16</f>
        <v/>
      </c>
      <c r="L14" s="0">
        <f>Forecast!C16</f>
        <v/>
      </c>
      <c r="M14" s="0">
        <f>Forecast!D16</f>
        <v/>
      </c>
      <c r="N14" s="0">
        <f>Forecast!E16</f>
        <v/>
      </c>
      <c r="O14" s="0">
        <f>Forecast!F16</f>
        <v/>
      </c>
      <c r="R14" s="0">
        <f>Forecast!B16</f>
        <v/>
      </c>
      <c r="S14" s="0">
        <f>Forecast!C16</f>
        <v/>
      </c>
      <c r="T14" s="0">
        <f>Forecast!D16</f>
        <v/>
      </c>
      <c r="U14" s="0">
        <f>Forecast!E16</f>
        <v/>
      </c>
      <c r="V14" s="0">
        <f>Forecast!F16</f>
        <v/>
      </c>
      <c r="Y14" s="0">
        <f>Forecast!B16</f>
        <v/>
      </c>
      <c r="Z14" s="0">
        <f>Forecast!C16</f>
        <v/>
      </c>
      <c r="AA14" s="0">
        <f>Forecast!D16</f>
        <v/>
      </c>
      <c r="AB14" s="0">
        <f>Forecast!E16</f>
        <v/>
      </c>
      <c r="AC14" s="0">
        <f>Forecast!F16</f>
        <v/>
      </c>
      <c r="AF14" s="0">
        <f>Forecast!B16</f>
        <v/>
      </c>
      <c r="AG14" s="0">
        <f>Forecast!C16</f>
        <v/>
      </c>
      <c r="AH14" s="0">
        <f>Forecast!D16</f>
        <v/>
      </c>
      <c r="AI14" s="0">
        <f>Forecast!E16</f>
        <v/>
      </c>
      <c r="AJ14" s="0">
        <f>Forecast!F16</f>
        <v/>
      </c>
    </row>
    <row r="15">
      <c r="K15" s="0">
        <f>K10+K11-K13-K14</f>
        <v/>
      </c>
      <c r="L15" s="0">
        <f>L10+L11-L13-L14</f>
        <v/>
      </c>
      <c r="M15" s="0">
        <f>M10+M11-M13-M14</f>
        <v/>
      </c>
      <c r="N15" s="0">
        <f>N10+N11-N13-N14</f>
        <v/>
      </c>
      <c r="O15" s="0">
        <f>O10+O11-O13-O14</f>
        <v/>
      </c>
      <c r="R15" s="0">
        <f>R10+R11-R13-R14</f>
        <v/>
      </c>
      <c r="S15" s="0">
        <f>S10+S11-S13-S14</f>
        <v/>
      </c>
      <c r="T15" s="0">
        <f>T10+T11-T13-T14</f>
        <v/>
      </c>
      <c r="U15" s="0">
        <f>U10+U11-U13-U14</f>
        <v/>
      </c>
      <c r="V15" s="0">
        <f>V10+V11-V13-V14</f>
        <v/>
      </c>
      <c r="Y15" s="0">
        <f>Y10+Y11-Y13-Y14</f>
        <v/>
      </c>
      <c r="Z15" s="0">
        <f>Z10+Z11-Z13-Z14</f>
        <v/>
      </c>
      <c r="AA15" s="0">
        <f>AA10+AA11-AA13-AA14</f>
        <v/>
      </c>
      <c r="AB15" s="0">
        <f>AB10+AB11-AB13-AB14</f>
        <v/>
      </c>
      <c r="AC15" s="0">
        <f>AC10+AC11-AC13-AC14</f>
        <v/>
      </c>
      <c r="AF15" s="0">
        <f>AF10+AF11-AF13-AF14</f>
        <v/>
      </c>
      <c r="AG15" s="0">
        <f>AG10+AG11-AG13-AG14</f>
        <v/>
      </c>
      <c r="AH15" s="0">
        <f>AH10+AH11-AH13-AH14</f>
        <v/>
      </c>
      <c r="AI15" s="0">
        <f>AI10+AI11-AI13-AI14</f>
        <v/>
      </c>
      <c r="AJ15" s="0">
        <f>AJ10+AJ11-AJ13-AJ14</f>
        <v/>
      </c>
    </row>
    <row r="16">
      <c r="K16" s="0">
        <f>1/((1+$D5)^1)</f>
        <v/>
      </c>
      <c r="L16" s="0">
        <f>1/((1+$D5)^2)</f>
        <v/>
      </c>
      <c r="M16" s="0">
        <f>1/((1+$D5)^3)</f>
        <v/>
      </c>
      <c r="N16" s="0">
        <f>1/((1+$D5)^4)</f>
        <v/>
      </c>
      <c r="O16" s="0">
        <f>1/((1+$D5)^5)</f>
        <v/>
      </c>
      <c r="R16" s="0">
        <f>1/((1+$D6)^1)</f>
        <v/>
      </c>
      <c r="S16" s="0">
        <f>1/((1+$D6)^2)</f>
        <v/>
      </c>
      <c r="T16" s="0">
        <f>1/((1+$D6)^3)</f>
        <v/>
      </c>
      <c r="U16" s="0">
        <f>1/((1+$D6)^4)</f>
        <v/>
      </c>
      <c r="V16" s="0">
        <f>1/((1+$D6)^5)</f>
        <v/>
      </c>
      <c r="Y16" s="0">
        <f>1/((1+$D7)^1)</f>
        <v/>
      </c>
      <c r="Z16" s="0">
        <f>1/((1+$D7)^2)</f>
        <v/>
      </c>
      <c r="AA16" s="0">
        <f>1/((1+$D7)^3)</f>
        <v/>
      </c>
      <c r="AB16" s="0">
        <f>1/((1+$D7)^4)</f>
        <v/>
      </c>
      <c r="AC16" s="0">
        <f>1/((1+$D7)^5)</f>
        <v/>
      </c>
      <c r="AF16" s="0">
        <f>1/((1+$D8)^1)</f>
        <v/>
      </c>
      <c r="AG16" s="0">
        <f>1/((1+$D8)^2)</f>
        <v/>
      </c>
      <c r="AH16" s="0">
        <f>1/((1+$D8)^3)</f>
        <v/>
      </c>
      <c r="AI16" s="0">
        <f>1/((1+$D8)^4)</f>
        <v/>
      </c>
      <c r="AJ16" s="0">
        <f>1/((1+$D8)^5)</f>
        <v/>
      </c>
    </row>
    <row r="17">
      <c r="K17" s="0">
        <f>K15*K16</f>
        <v/>
      </c>
      <c r="L17" s="0">
        <f>L15*L16</f>
        <v/>
      </c>
      <c r="M17" s="0">
        <f>M15*M16</f>
        <v/>
      </c>
      <c r="N17" s="0">
        <f>N15*N16</f>
        <v/>
      </c>
      <c r="O17" s="0">
        <f>O15*O16</f>
        <v/>
      </c>
      <c r="R17" s="0">
        <f>R15*R16</f>
        <v/>
      </c>
      <c r="S17" s="0">
        <f>S15*S16</f>
        <v/>
      </c>
      <c r="T17" s="0">
        <f>T15*T16</f>
        <v/>
      </c>
      <c r="U17" s="0">
        <f>U15*U16</f>
        <v/>
      </c>
      <c r="V17" s="0">
        <f>V15*V16</f>
        <v/>
      </c>
      <c r="Y17" s="0">
        <f>Y15*Y16</f>
        <v/>
      </c>
      <c r="Z17" s="0">
        <f>Z15*Z16</f>
        <v/>
      </c>
      <c r="AA17" s="0">
        <f>AA15*AA16</f>
        <v/>
      </c>
      <c r="AB17" s="0">
        <f>AB15*AB16</f>
        <v/>
      </c>
      <c r="AC17" s="0">
        <f>AC15*AC16</f>
        <v/>
      </c>
      <c r="AF17" s="0">
        <f>AF15*AF16</f>
        <v/>
      </c>
      <c r="AG17" s="0">
        <f>AG15*AG16</f>
        <v/>
      </c>
      <c r="AH17" s="0">
        <f>AH15*AH16</f>
        <v/>
      </c>
      <c r="AI17" s="0">
        <f>AI15*AI16</f>
        <v/>
      </c>
      <c r="AJ17" s="0">
        <f>AJ15*AJ16</f>
        <v/>
      </c>
    </row>
    <row r="18">
      <c r="K18" s="0">
        <f>O15*(1+$E5)/($D5-$E5)</f>
        <v/>
      </c>
      <c r="R18" s="0">
        <f>V15*(1+$E6)/($D6-$E6)</f>
        <v/>
      </c>
      <c r="Y18" s="0">
        <f>AC15*(1+$E7)/($D7-$E7)</f>
        <v/>
      </c>
      <c r="AF18" s="0">
        <f>AJ15*(1+$E8)/($D8-$E8)</f>
        <v/>
      </c>
    </row>
    <row r="19">
      <c r="K19" s="0">
        <f>K18*O16</f>
        <v/>
      </c>
      <c r="R19" s="0">
        <f>R18*V16</f>
        <v/>
      </c>
      <c r="Y19" s="0">
        <f>Y18*AC16</f>
        <v/>
      </c>
      <c r="AF19" s="0">
        <f>AF18*AJ16</f>
        <v/>
      </c>
    </row>
    <row r="20">
      <c r="K20" s="0">
        <f>SUM(K17:O17)+K19</f>
        <v/>
      </c>
      <c r="R20" s="0">
        <f>SUM(R17:V17)+R19</f>
        <v/>
      </c>
      <c r="Y20" s="0">
        <f>SUM(Y17:AC17)+Y19</f>
        <v/>
      </c>
      <c r="AF20" s="0">
        <f>SUM(AF17:AJ17)+AF19</f>
        <v/>
      </c>
    </row>
    <row r="21">
      <c r="K21" s="0">
        <f>K20-WACC!$B$8</f>
        <v/>
      </c>
      <c r="R21" s="0">
        <f>R20-WACC!$B$8</f>
        <v/>
      </c>
      <c r="Y21" s="0">
        <f>Y20-WACC!$B$8</f>
        <v/>
      </c>
      <c r="AF21" s="0">
        <f>AF20-WACC!$B$8</f>
        <v/>
      </c>
    </row>
    <row r="22">
      <c r="K22" s="0">
        <f>K21/WACC!$B$6</f>
        <v/>
      </c>
      <c r="R22" s="0">
        <f>R21/WACC!$B$6</f>
        <v/>
      </c>
      <c r="Y22" s="0">
        <f>Y21/WACC!$B$6</f>
        <v/>
      </c>
      <c r="AF22" s="0">
        <f>AF21/WACC!$B$6</f>
        <v/>
      </c>
    </row>
    <row r="23">
      <c r="K23" s="0">
        <f>K22/WACC!$B$5-1</f>
        <v/>
      </c>
      <c r="R23" s="0">
        <f>R22/WACC!$B$5-1</f>
        <v/>
      </c>
      <c r="Y23" s="0">
        <f>Y22/WACC!$B$5-1</f>
        <v/>
      </c>
      <c r="AF23" s="0">
        <f>AF22/WACC!$B$5-1</f>
        <v/>
      </c>
    </row>
  </sheetData>
  <mergeCells count="4">
    <mergeCell ref="A1:I1"/>
    <mergeCell ref="A2:I2"/>
    <mergeCell ref="A11:I11"/>
    <mergeCell ref="A10:I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42" min="1" max="1"/>
    <col width="12" customWidth="1" style="42" min="2" max="2"/>
    <col width="16" customWidth="1" style="42" min="3" max="3"/>
    <col width="16" customWidth="1" style="42" min="4" max="4"/>
    <col width="13" customWidth="1" style="42" min="5" max="5"/>
    <col width="13" customWidth="1" style="42" min="6" max="6"/>
    <col width="12" customWidth="1" style="42" min="7" max="7"/>
    <col hidden="1" width="13" customWidth="1" style="42" min="10" max="10"/>
    <col hidden="1" width="13" customWidth="1" style="42" min="11" max="11"/>
    <col hidden="1" width="13" customWidth="1" style="42" min="12" max="12"/>
    <col hidden="1" width="13" customWidth="1" style="42" min="13" max="13"/>
    <col hidden="1" width="13" customWidth="1" style="42" min="14" max="14"/>
    <col hidden="1" width="13" customWidth="1" style="42" min="15" max="15"/>
    <col hidden="1" width="13" customWidth="1" style="42" min="16" max="16"/>
    <col hidden="1" width="13" customWidth="1" style="42" min="17" max="17"/>
    <col hidden="1" width="13" customWidth="1" style="42" min="18" max="18"/>
    <col hidden="1" width="13" customWidth="1" style="42" min="19" max="19"/>
    <col hidden="1" width="13" customWidth="1" style="42" min="20" max="20"/>
    <col hidden="1" width="13" customWidth="1" style="42" min="21" max="21"/>
    <col hidden="1" width="13" customWidth="1" style="42" min="22" max="22"/>
    <col hidden="1" width="13" customWidth="1" style="42" min="23" max="23"/>
    <col hidden="1" width="13" customWidth="1" style="42" min="24" max="24"/>
    <col hidden="1" width="13" customWidth="1" style="42" min="25" max="25"/>
    <col hidden="1" width="13" customWidth="1" style="42" min="26" max="26"/>
    <col hidden="1" width="13" customWidth="1" style="42" min="27" max="27"/>
    <col hidden="1" width="13" customWidth="1" style="42" min="28" max="28"/>
    <col hidden="1" width="13" customWidth="1" style="42" min="29" max="29"/>
    <col hidden="1" width="13" customWidth="1" style="42" min="30" max="30"/>
    <col hidden="1" width="13" customWidth="1" style="42" min="31" max="31"/>
    <col hidden="1" width="13" customWidth="1" style="42" min="32" max="32"/>
    <col hidden="1" width="13" customWidth="1" style="42" min="33" max="33"/>
    <col hidden="1" width="13" customWidth="1" style="42" min="34" max="34"/>
    <col hidden="1" width="13" customWidth="1" style="42" min="35" max="35"/>
    <col hidden="1" width="13" customWidth="1" style="42" min="36" max="36"/>
    <col hidden="1" width="13" customWidth="1" style="42" min="37" max="37"/>
    <col hidden="1" width="13" customWidth="1" style="42" min="38" max="38"/>
    <col hidden="1" width="13" customWidth="1" style="42" min="39" max="39"/>
    <col hidden="1" width="13" customWidth="1" style="42" min="40" max="40"/>
    <col hidden="1" width="13" customWidth="1" style="42" min="41" max="41"/>
    <col hidden="1" width="13" customWidth="1" style="42" min="42" max="42"/>
    <col hidden="1" width="13" customWidth="1" style="42" min="43" max="43"/>
    <col hidden="1" width="13" customWidth="1" style="42" min="44" max="44"/>
    <col hidden="1" width="13" customWidth="1" style="42" min="45" max="45"/>
    <col hidden="1" width="13" customWidth="1" style="42" min="46" max="46"/>
    <col hidden="1" width="13" customWidth="1" style="42" min="47" max="47"/>
    <col hidden="1" width="13" customWidth="1" style="42" min="48" max="48"/>
    <col hidden="1" width="13" customWidth="1" style="42" min="49" max="49"/>
    <col hidden="1" width="13" customWidth="1" style="42" min="50" max="50"/>
    <col hidden="1" width="13" customWidth="1" style="42" min="51" max="51"/>
    <col hidden="1" width="13" customWidth="1" style="42" min="52" max="52"/>
    <col hidden="1" width="13" customWidth="1" style="42" min="53" max="53"/>
    <col hidden="1" width="13" customWidth="1" style="42" min="54" max="54"/>
    <col hidden="1" width="13" customWidth="1" style="42" min="55" max="55"/>
    <col hidden="1" width="13" customWidth="1" style="42" min="56" max="56"/>
    <col hidden="1" width="13" customWidth="1" style="42" min="57" max="57"/>
    <col hidden="1" width="13" customWidth="1" style="42" min="58" max="58"/>
    <col hidden="1" width="13" customWidth="1" style="42" min="59" max="59"/>
    <col hidden="1" width="13" customWidth="1" style="42" min="60" max="60"/>
    <col hidden="1" width="13" customWidth="1" style="42" min="61" max="61"/>
    <col hidden="1" width="13" customWidth="1" style="42" min="62" max="62"/>
    <col hidden="1" width="13" customWidth="1" style="42" min="63" max="63"/>
    <col hidden="1" width="13" customWidth="1" style="42" min="64" max="64"/>
    <col hidden="1" width="13" customWidth="1" style="42" min="65" max="65"/>
    <col hidden="1" width="13" customWidth="1" style="42" min="66" max="66"/>
    <col hidden="1" width="13" customWidth="1" style="42" min="67" max="67"/>
    <col hidden="1" width="13" customWidth="1" style="42" min="68" max="68"/>
    <col hidden="1" width="13" customWidth="1" style="42" min="69" max="69"/>
    <col hidden="1" width="13" customWidth="1" style="42" min="70" max="70"/>
    <col hidden="1" width="13" customWidth="1" style="42" min="71" max="71"/>
    <col hidden="1" width="13" customWidth="1" style="42" min="72" max="72"/>
    <col hidden="1" width="13" customWidth="1" style="42" min="73" max="73"/>
    <col hidden="1" width="13" customWidth="1" style="42" min="74" max="74"/>
    <col hidden="1" width="13" customWidth="1" style="42" min="75" max="75"/>
    <col hidden="1" width="13" customWidth="1" style="42" min="76" max="76"/>
    <col hidden="1" width="13" customWidth="1" style="42" min="77" max="77"/>
    <col hidden="1" width="13" customWidth="1" style="42" min="78" max="78"/>
    <col hidden="1" width="13" customWidth="1" style="42" min="79" max="79"/>
  </cols>
  <sheetData>
    <row r="1">
      <c r="A1" s="43" t="inlineStr">
        <is>
          <t>Tornado sensitivity</t>
        </is>
      </c>
    </row>
    <row r="2">
      <c r="A2" s="44" t="inlineStr">
        <is>
          <t>Une seule variable change a la fois. La croissance du CA 2026E-2030E reste celle de Forecast dans tous les cas.</t>
        </is>
      </c>
    </row>
    <row r="4">
      <c r="A4" s="45" t="inlineStr">
        <is>
          <t>Variable</t>
        </is>
      </c>
      <c r="B4" s="45" t="inlineStr">
        <is>
          <t>Base</t>
        </is>
      </c>
      <c r="C4" s="45" t="inlineStr">
        <is>
          <t>Hypothese basse</t>
        </is>
      </c>
      <c r="D4" s="45" t="inlineStr">
        <is>
          <t>Hypothese haute</t>
        </is>
      </c>
      <c r="E4" s="45" t="inlineStr">
        <is>
          <t>Valeur basse</t>
        </is>
      </c>
      <c r="F4" s="45" t="inlineStr">
        <is>
          <t>Valeur haute</t>
        </is>
      </c>
      <c r="G4" s="45" t="inlineStr">
        <is>
          <t>Amplitude</t>
        </is>
      </c>
    </row>
    <row r="5">
      <c r="A5" s="55" t="inlineStr">
        <is>
          <t>Marge EBIT terminale 2030</t>
        </is>
      </c>
      <c r="B5" s="56">
        <f>Sensitivity!B6</f>
        <v/>
      </c>
      <c r="C5" s="56">
        <f>Sensitivity!B5</f>
        <v/>
      </c>
      <c r="D5" s="56">
        <f>Sensitivity!B7</f>
        <v/>
      </c>
      <c r="E5" s="57">
        <f>J30</f>
        <v/>
      </c>
      <c r="F5" s="57">
        <f>Q30</f>
        <v/>
      </c>
      <c r="G5" s="57">
        <f>ABS(F5-E5)</f>
        <v/>
      </c>
    </row>
    <row r="6">
      <c r="A6" s="55" t="inlineStr">
        <is>
          <t>Capex / CA terminal 2030</t>
        </is>
      </c>
      <c r="B6" s="56">
        <f>Sensitivity!C6</f>
        <v/>
      </c>
      <c r="C6" s="56">
        <f>Sensitivity!C5</f>
        <v/>
      </c>
      <c r="D6" s="56">
        <f>Sensitivity!C7</f>
        <v/>
      </c>
      <c r="E6" s="57">
        <f>X30</f>
        <v/>
      </c>
      <c r="F6" s="57">
        <f>AE30</f>
        <v/>
      </c>
      <c r="G6" s="57">
        <f>ABS(F6-E6)</f>
        <v/>
      </c>
    </row>
    <row r="7">
      <c r="A7" s="55" t="inlineStr">
        <is>
          <t>WACC</t>
        </is>
      </c>
      <c r="B7" s="56">
        <f>Sensitivity!D6</f>
        <v/>
      </c>
      <c r="C7" s="56">
        <f>Sensitivity!D5</f>
        <v/>
      </c>
      <c r="D7" s="56">
        <f>Sensitivity!D7</f>
        <v/>
      </c>
      <c r="E7" s="57">
        <f>AL30</f>
        <v/>
      </c>
      <c r="F7" s="57">
        <f>AS30</f>
        <v/>
      </c>
      <c r="G7" s="57">
        <f>ABS(F7-E7)</f>
        <v/>
      </c>
    </row>
    <row r="8">
      <c r="A8" s="55" t="inlineStr">
        <is>
          <t>Croissance terminale</t>
        </is>
      </c>
      <c r="B8" s="56">
        <f>Sensitivity!E6</f>
        <v/>
      </c>
      <c r="C8" s="56">
        <f>Sensitivity!E5</f>
        <v/>
      </c>
      <c r="D8" s="56">
        <f>Sensitivity!E7</f>
        <v/>
      </c>
      <c r="E8" s="57">
        <f>AZ30</f>
        <v/>
      </c>
      <c r="F8" s="57">
        <f>BG30</f>
        <v/>
      </c>
      <c r="G8" s="57">
        <f>ABS(F8-E8)</f>
        <v/>
      </c>
    </row>
    <row r="10">
      <c r="A10" s="58" t="inlineStr">
        <is>
          <t>Lecture: le tornado isole la sensibilite de chaque variable. Toutes les autres hypotheses restent au niveau du scenario Base.</t>
        </is>
      </c>
    </row>
    <row r="12">
      <c r="J12" t="inlineStr">
        <is>
          <t>Marge EBIT terminale 2030 low</t>
        </is>
      </c>
      <c r="Q12" t="inlineStr">
        <is>
          <t>Marge EBIT terminale 2030 high</t>
        </is>
      </c>
      <c r="X12" t="inlineStr">
        <is>
          <t>Capex / CA terminal 2030 low</t>
        </is>
      </c>
      <c r="AE12" t="inlineStr">
        <is>
          <t>Capex / CA terminal 2030 high</t>
        </is>
      </c>
      <c r="AL12" t="inlineStr">
        <is>
          <t>WACC low</t>
        </is>
      </c>
      <c r="AS12" t="inlineStr">
        <is>
          <t>WACC high</t>
        </is>
      </c>
      <c r="AZ12" t="inlineStr">
        <is>
          <t>Croissance terminale low</t>
        </is>
      </c>
      <c r="BG12" t="inlineStr">
        <is>
          <t>Croissance terminale high</t>
        </is>
      </c>
    </row>
    <row r="13">
      <c r="J13" t="inlineStr">
        <is>
          <t>2026E</t>
        </is>
      </c>
      <c r="K13" t="inlineStr">
        <is>
          <t>2027E</t>
        </is>
      </c>
      <c r="L13" t="inlineStr">
        <is>
          <t>2028E</t>
        </is>
      </c>
      <c r="M13" t="inlineStr">
        <is>
          <t>2029E</t>
        </is>
      </c>
      <c r="N13" t="inlineStr">
        <is>
          <t>2030E</t>
        </is>
      </c>
      <c r="Q13" t="inlineStr">
        <is>
          <t>2026E</t>
        </is>
      </c>
      <c r="R13" t="inlineStr">
        <is>
          <t>2027E</t>
        </is>
      </c>
      <c r="S13" t="inlineStr">
        <is>
          <t>2028E</t>
        </is>
      </c>
      <c r="T13" t="inlineStr">
        <is>
          <t>2029E</t>
        </is>
      </c>
      <c r="U13" t="inlineStr">
        <is>
          <t>2030E</t>
        </is>
      </c>
      <c r="X13" t="inlineStr">
        <is>
          <t>2026E</t>
        </is>
      </c>
      <c r="Y13" t="inlineStr">
        <is>
          <t>2027E</t>
        </is>
      </c>
      <c r="Z13" t="inlineStr">
        <is>
          <t>2028E</t>
        </is>
      </c>
      <c r="AA13" t="inlineStr">
        <is>
          <t>2029E</t>
        </is>
      </c>
      <c r="AB13" t="inlineStr">
        <is>
          <t>2030E</t>
        </is>
      </c>
      <c r="AE13" t="inlineStr">
        <is>
          <t>2026E</t>
        </is>
      </c>
      <c r="AF13" t="inlineStr">
        <is>
          <t>2027E</t>
        </is>
      </c>
      <c r="AG13" t="inlineStr">
        <is>
          <t>2028E</t>
        </is>
      </c>
      <c r="AH13" t="inlineStr">
        <is>
          <t>2029E</t>
        </is>
      </c>
      <c r="AI13" t="inlineStr">
        <is>
          <t>2030E</t>
        </is>
      </c>
      <c r="AL13" t="inlineStr">
        <is>
          <t>2026E</t>
        </is>
      </c>
      <c r="AM13" t="inlineStr">
        <is>
          <t>2027E</t>
        </is>
      </c>
      <c r="AN13" t="inlineStr">
        <is>
          <t>2028E</t>
        </is>
      </c>
      <c r="AO13" t="inlineStr">
        <is>
          <t>2029E</t>
        </is>
      </c>
      <c r="AP13" t="inlineStr">
        <is>
          <t>2030E</t>
        </is>
      </c>
      <c r="AS13" t="inlineStr">
        <is>
          <t>2026E</t>
        </is>
      </c>
      <c r="AT13" t="inlineStr">
        <is>
          <t>2027E</t>
        </is>
      </c>
      <c r="AU13" t="inlineStr">
        <is>
          <t>2028E</t>
        </is>
      </c>
      <c r="AV13" t="inlineStr">
        <is>
          <t>2029E</t>
        </is>
      </c>
      <c r="AW13" t="inlineStr">
        <is>
          <t>2030E</t>
        </is>
      </c>
      <c r="AZ13" t="inlineStr">
        <is>
          <t>2026E</t>
        </is>
      </c>
      <c r="BA13" t="inlineStr">
        <is>
          <t>2027E</t>
        </is>
      </c>
      <c r="BB13" t="inlineStr">
        <is>
          <t>2028E</t>
        </is>
      </c>
      <c r="BC13" t="inlineStr">
        <is>
          <t>2029E</t>
        </is>
      </c>
      <c r="BD13" t="inlineStr">
        <is>
          <t>2030E</t>
        </is>
      </c>
      <c r="BG13" t="inlineStr">
        <is>
          <t>2026E</t>
        </is>
      </c>
      <c r="BH13" t="inlineStr">
        <is>
          <t>2027E</t>
        </is>
      </c>
      <c r="BI13" t="inlineStr">
        <is>
          <t>2028E</t>
        </is>
      </c>
      <c r="BJ13" t="inlineStr">
        <is>
          <t>2029E</t>
        </is>
      </c>
      <c r="BK13" t="inlineStr">
        <is>
          <t>2030E</t>
        </is>
      </c>
    </row>
    <row r="14">
      <c r="J14">
        <f>Forecast!B4</f>
        <v/>
      </c>
      <c r="K14">
        <f>Forecast!C4</f>
        <v/>
      </c>
      <c r="L14">
        <f>Forecast!D4</f>
        <v/>
      </c>
      <c r="M14">
        <f>Forecast!E4</f>
        <v/>
      </c>
      <c r="N14">
        <f>Forecast!F4</f>
        <v/>
      </c>
      <c r="Q14">
        <f>Forecast!B4</f>
        <v/>
      </c>
      <c r="R14">
        <f>Forecast!C4</f>
        <v/>
      </c>
      <c r="S14">
        <f>Forecast!D4</f>
        <v/>
      </c>
      <c r="T14">
        <f>Forecast!E4</f>
        <v/>
      </c>
      <c r="U14">
        <f>Forecast!F4</f>
        <v/>
      </c>
      <c r="X14">
        <f>Forecast!B4</f>
        <v/>
      </c>
      <c r="Y14">
        <f>Forecast!C4</f>
        <v/>
      </c>
      <c r="Z14">
        <f>Forecast!D4</f>
        <v/>
      </c>
      <c r="AA14">
        <f>Forecast!E4</f>
        <v/>
      </c>
      <c r="AB14">
        <f>Forecast!F4</f>
        <v/>
      </c>
      <c r="AE14">
        <f>Forecast!B4</f>
        <v/>
      </c>
      <c r="AF14">
        <f>Forecast!C4</f>
        <v/>
      </c>
      <c r="AG14">
        <f>Forecast!D4</f>
        <v/>
      </c>
      <c r="AH14">
        <f>Forecast!E4</f>
        <v/>
      </c>
      <c r="AI14">
        <f>Forecast!F4</f>
        <v/>
      </c>
      <c r="AL14">
        <f>Forecast!B4</f>
        <v/>
      </c>
      <c r="AM14">
        <f>Forecast!C4</f>
        <v/>
      </c>
      <c r="AN14">
        <f>Forecast!D4</f>
        <v/>
      </c>
      <c r="AO14">
        <f>Forecast!E4</f>
        <v/>
      </c>
      <c r="AP14">
        <f>Forecast!F4</f>
        <v/>
      </c>
      <c r="AS14">
        <f>Forecast!B4</f>
        <v/>
      </c>
      <c r="AT14">
        <f>Forecast!C4</f>
        <v/>
      </c>
      <c r="AU14">
        <f>Forecast!D4</f>
        <v/>
      </c>
      <c r="AV14">
        <f>Forecast!E4</f>
        <v/>
      </c>
      <c r="AW14">
        <f>Forecast!F4</f>
        <v/>
      </c>
      <c r="AZ14">
        <f>Forecast!B4</f>
        <v/>
      </c>
      <c r="BA14">
        <f>Forecast!C4</f>
        <v/>
      </c>
      <c r="BB14">
        <f>Forecast!D4</f>
        <v/>
      </c>
      <c r="BC14">
        <f>Forecast!E4</f>
        <v/>
      </c>
      <c r="BD14">
        <f>Forecast!F4</f>
        <v/>
      </c>
      <c r="BG14">
        <f>Forecast!B4</f>
        <v/>
      </c>
      <c r="BH14">
        <f>Forecast!C4</f>
        <v/>
      </c>
      <c r="BI14">
        <f>Forecast!D4</f>
        <v/>
      </c>
      <c r="BJ14">
        <f>Forecast!E4</f>
        <v/>
      </c>
      <c r="BK14">
        <f>Forecast!F4</f>
        <v/>
      </c>
    </row>
    <row r="15">
      <c r="J15">
        <f>Forecast!B8</f>
        <v/>
      </c>
      <c r="K15">
        <f>Forecast!$B$8+(($C$5-Forecast!$B$8)*1/4)</f>
        <v/>
      </c>
      <c r="L15">
        <f>Forecast!$B$8+(($C$5-Forecast!$B$8)*2/4)</f>
        <v/>
      </c>
      <c r="M15">
        <f>Forecast!$B$8+(($C$5-Forecast!$B$8)*3/4)</f>
        <v/>
      </c>
      <c r="N15">
        <f>Forecast!$B$8+(($C$5-Forecast!$B$8)*4/4)</f>
        <v/>
      </c>
      <c r="Q15">
        <f>Forecast!B8</f>
        <v/>
      </c>
      <c r="R15">
        <f>Forecast!$B$8+(($D$5-Forecast!$B$8)*1/4)</f>
        <v/>
      </c>
      <c r="S15">
        <f>Forecast!$B$8+(($D$5-Forecast!$B$8)*2/4)</f>
        <v/>
      </c>
      <c r="T15">
        <f>Forecast!$B$8+(($D$5-Forecast!$B$8)*3/4)</f>
        <v/>
      </c>
      <c r="U15">
        <f>Forecast!$B$8+(($D$5-Forecast!$B$8)*4/4)</f>
        <v/>
      </c>
      <c r="X15">
        <f>Forecast!B8</f>
        <v/>
      </c>
      <c r="Y15">
        <f>Forecast!$B$8+(($B$5-Forecast!$B$8)*1/4)</f>
        <v/>
      </c>
      <c r="Z15">
        <f>Forecast!$B$8+(($B$5-Forecast!$B$8)*2/4)</f>
        <v/>
      </c>
      <c r="AA15">
        <f>Forecast!$B$8+(($B$5-Forecast!$B$8)*3/4)</f>
        <v/>
      </c>
      <c r="AB15">
        <f>Forecast!$B$8+(($B$5-Forecast!$B$8)*4/4)</f>
        <v/>
      </c>
      <c r="AE15">
        <f>Forecast!B8</f>
        <v/>
      </c>
      <c r="AF15">
        <f>Forecast!$B$8+(($B$5-Forecast!$B$8)*1/4)</f>
        <v/>
      </c>
      <c r="AG15">
        <f>Forecast!$B$8+(($B$5-Forecast!$B$8)*2/4)</f>
        <v/>
      </c>
      <c r="AH15">
        <f>Forecast!$B$8+(($B$5-Forecast!$B$8)*3/4)</f>
        <v/>
      </c>
      <c r="AI15">
        <f>Forecast!$B$8+(($B$5-Forecast!$B$8)*4/4)</f>
        <v/>
      </c>
      <c r="AL15">
        <f>Forecast!B8</f>
        <v/>
      </c>
      <c r="AM15">
        <f>Forecast!$B$8+(($B$5-Forecast!$B$8)*1/4)</f>
        <v/>
      </c>
      <c r="AN15">
        <f>Forecast!$B$8+(($B$5-Forecast!$B$8)*2/4)</f>
        <v/>
      </c>
      <c r="AO15">
        <f>Forecast!$B$8+(($B$5-Forecast!$B$8)*3/4)</f>
        <v/>
      </c>
      <c r="AP15">
        <f>Forecast!$B$8+(($B$5-Forecast!$B$8)*4/4)</f>
        <v/>
      </c>
      <c r="AS15">
        <f>Forecast!B8</f>
        <v/>
      </c>
      <c r="AT15">
        <f>Forecast!$B$8+(($B$5-Forecast!$B$8)*1/4)</f>
        <v/>
      </c>
      <c r="AU15">
        <f>Forecast!$B$8+(($B$5-Forecast!$B$8)*2/4)</f>
        <v/>
      </c>
      <c r="AV15">
        <f>Forecast!$B$8+(($B$5-Forecast!$B$8)*3/4)</f>
        <v/>
      </c>
      <c r="AW15">
        <f>Forecast!$B$8+(($B$5-Forecast!$B$8)*4/4)</f>
        <v/>
      </c>
      <c r="AZ15">
        <f>Forecast!B8</f>
        <v/>
      </c>
      <c r="BA15">
        <f>Forecast!$B$8+(($B$5-Forecast!$B$8)*1/4)</f>
        <v/>
      </c>
      <c r="BB15">
        <f>Forecast!$B$8+(($B$5-Forecast!$B$8)*2/4)</f>
        <v/>
      </c>
      <c r="BC15">
        <f>Forecast!$B$8+(($B$5-Forecast!$B$8)*3/4)</f>
        <v/>
      </c>
      <c r="BD15">
        <f>Forecast!$B$8+(($B$5-Forecast!$B$8)*4/4)</f>
        <v/>
      </c>
      <c r="BG15">
        <f>Forecast!B8</f>
        <v/>
      </c>
      <c r="BH15">
        <f>Forecast!$B$8+(($B$5-Forecast!$B$8)*1/4)</f>
        <v/>
      </c>
      <c r="BI15">
        <f>Forecast!$B$8+(($B$5-Forecast!$B$8)*2/4)</f>
        <v/>
      </c>
      <c r="BJ15">
        <f>Forecast!$B$8+(($B$5-Forecast!$B$8)*3/4)</f>
        <v/>
      </c>
      <c r="BK15">
        <f>Forecast!$B$8+(($B$5-Forecast!$B$8)*4/4)</f>
        <v/>
      </c>
    </row>
    <row r="16">
      <c r="J16">
        <f>J14*J15</f>
        <v/>
      </c>
      <c r="K16">
        <f>K14*K15</f>
        <v/>
      </c>
      <c r="L16">
        <f>L14*L15</f>
        <v/>
      </c>
      <c r="M16">
        <f>M14*M15</f>
        <v/>
      </c>
      <c r="N16">
        <f>N14*N15</f>
        <v/>
      </c>
      <c r="Q16">
        <f>Q14*Q15</f>
        <v/>
      </c>
      <c r="R16">
        <f>R14*R15</f>
        <v/>
      </c>
      <c r="S16">
        <f>S14*S15</f>
        <v/>
      </c>
      <c r="T16">
        <f>T14*T15</f>
        <v/>
      </c>
      <c r="U16">
        <f>U14*U15</f>
        <v/>
      </c>
      <c r="X16">
        <f>X14*X15</f>
        <v/>
      </c>
      <c r="Y16">
        <f>Y14*Y15</f>
        <v/>
      </c>
      <c r="Z16">
        <f>Z14*Z15</f>
        <v/>
      </c>
      <c r="AA16">
        <f>AA14*AA15</f>
        <v/>
      </c>
      <c r="AB16">
        <f>AB14*AB15</f>
        <v/>
      </c>
      <c r="AE16">
        <f>AE14*AE15</f>
        <v/>
      </c>
      <c r="AF16">
        <f>AF14*AF15</f>
        <v/>
      </c>
      <c r="AG16">
        <f>AG14*AG15</f>
        <v/>
      </c>
      <c r="AH16">
        <f>AH14*AH15</f>
        <v/>
      </c>
      <c r="AI16">
        <f>AI14*AI15</f>
        <v/>
      </c>
      <c r="AL16">
        <f>AL14*AL15</f>
        <v/>
      </c>
      <c r="AM16">
        <f>AM14*AM15</f>
        <v/>
      </c>
      <c r="AN16">
        <f>AN14*AN15</f>
        <v/>
      </c>
      <c r="AO16">
        <f>AO14*AO15</f>
        <v/>
      </c>
      <c r="AP16">
        <f>AP14*AP15</f>
        <v/>
      </c>
      <c r="AS16">
        <f>AS14*AS15</f>
        <v/>
      </c>
      <c r="AT16">
        <f>AT14*AT15</f>
        <v/>
      </c>
      <c r="AU16">
        <f>AU14*AU15</f>
        <v/>
      </c>
      <c r="AV16">
        <f>AV14*AV15</f>
        <v/>
      </c>
      <c r="AW16">
        <f>AW14*AW15</f>
        <v/>
      </c>
      <c r="AZ16">
        <f>AZ14*AZ15</f>
        <v/>
      </c>
      <c r="BA16">
        <f>BA14*BA15</f>
        <v/>
      </c>
      <c r="BB16">
        <f>BB14*BB15</f>
        <v/>
      </c>
      <c r="BC16">
        <f>BC14*BC15</f>
        <v/>
      </c>
      <c r="BD16">
        <f>BD14*BD15</f>
        <v/>
      </c>
      <c r="BG16">
        <f>BG14*BG15</f>
        <v/>
      </c>
      <c r="BH16">
        <f>BH14*BH15</f>
        <v/>
      </c>
      <c r="BI16">
        <f>BI14*BI15</f>
        <v/>
      </c>
      <c r="BJ16">
        <f>BJ14*BJ15</f>
        <v/>
      </c>
      <c r="BK16">
        <f>BK14*BK15</f>
        <v/>
      </c>
    </row>
    <row r="17">
      <c r="J17">
        <f>Forecast!B10</f>
        <v/>
      </c>
      <c r="K17">
        <f>Forecast!C10</f>
        <v/>
      </c>
      <c r="L17">
        <f>Forecast!D10</f>
        <v/>
      </c>
      <c r="M17">
        <f>Forecast!E10</f>
        <v/>
      </c>
      <c r="N17">
        <f>Forecast!F10</f>
        <v/>
      </c>
      <c r="Q17">
        <f>Forecast!B10</f>
        <v/>
      </c>
      <c r="R17">
        <f>Forecast!C10</f>
        <v/>
      </c>
      <c r="S17">
        <f>Forecast!D10</f>
        <v/>
      </c>
      <c r="T17">
        <f>Forecast!E10</f>
        <v/>
      </c>
      <c r="U17">
        <f>Forecast!F10</f>
        <v/>
      </c>
      <c r="X17">
        <f>Forecast!B10</f>
        <v/>
      </c>
      <c r="Y17">
        <f>Forecast!C10</f>
        <v/>
      </c>
      <c r="Z17">
        <f>Forecast!D10</f>
        <v/>
      </c>
      <c r="AA17">
        <f>Forecast!E10</f>
        <v/>
      </c>
      <c r="AB17">
        <f>Forecast!F10</f>
        <v/>
      </c>
      <c r="AE17">
        <f>Forecast!B10</f>
        <v/>
      </c>
      <c r="AF17">
        <f>Forecast!C10</f>
        <v/>
      </c>
      <c r="AG17">
        <f>Forecast!D10</f>
        <v/>
      </c>
      <c r="AH17">
        <f>Forecast!E10</f>
        <v/>
      </c>
      <c r="AI17">
        <f>Forecast!F10</f>
        <v/>
      </c>
      <c r="AL17">
        <f>Forecast!B10</f>
        <v/>
      </c>
      <c r="AM17">
        <f>Forecast!C10</f>
        <v/>
      </c>
      <c r="AN17">
        <f>Forecast!D10</f>
        <v/>
      </c>
      <c r="AO17">
        <f>Forecast!E10</f>
        <v/>
      </c>
      <c r="AP17">
        <f>Forecast!F10</f>
        <v/>
      </c>
      <c r="AS17">
        <f>Forecast!B10</f>
        <v/>
      </c>
      <c r="AT17">
        <f>Forecast!C10</f>
        <v/>
      </c>
      <c r="AU17">
        <f>Forecast!D10</f>
        <v/>
      </c>
      <c r="AV17">
        <f>Forecast!E10</f>
        <v/>
      </c>
      <c r="AW17">
        <f>Forecast!F10</f>
        <v/>
      </c>
      <c r="AZ17">
        <f>Forecast!B10</f>
        <v/>
      </c>
      <c r="BA17">
        <f>Forecast!C10</f>
        <v/>
      </c>
      <c r="BB17">
        <f>Forecast!D10</f>
        <v/>
      </c>
      <c r="BC17">
        <f>Forecast!E10</f>
        <v/>
      </c>
      <c r="BD17">
        <f>Forecast!F10</f>
        <v/>
      </c>
      <c r="BG17">
        <f>Forecast!B10</f>
        <v/>
      </c>
      <c r="BH17">
        <f>Forecast!C10</f>
        <v/>
      </c>
      <c r="BI17">
        <f>Forecast!D10</f>
        <v/>
      </c>
      <c r="BJ17">
        <f>Forecast!E10</f>
        <v/>
      </c>
      <c r="BK17">
        <f>Forecast!F10</f>
        <v/>
      </c>
    </row>
    <row r="18">
      <c r="J18">
        <f>J16*(1-J17)</f>
        <v/>
      </c>
      <c r="K18">
        <f>K16*(1-K17)</f>
        <v/>
      </c>
      <c r="L18">
        <f>L16*(1-L17)</f>
        <v/>
      </c>
      <c r="M18">
        <f>M16*(1-M17)</f>
        <v/>
      </c>
      <c r="N18">
        <f>N16*(1-N17)</f>
        <v/>
      </c>
      <c r="Q18">
        <f>Q16*(1-Q17)</f>
        <v/>
      </c>
      <c r="R18">
        <f>R16*(1-R17)</f>
        <v/>
      </c>
      <c r="S18">
        <f>S16*(1-S17)</f>
        <v/>
      </c>
      <c r="T18">
        <f>T16*(1-T17)</f>
        <v/>
      </c>
      <c r="U18">
        <f>U16*(1-U17)</f>
        <v/>
      </c>
      <c r="X18">
        <f>X16*(1-X17)</f>
        <v/>
      </c>
      <c r="Y18">
        <f>Y16*(1-Y17)</f>
        <v/>
      </c>
      <c r="Z18">
        <f>Z16*(1-Z17)</f>
        <v/>
      </c>
      <c r="AA18">
        <f>AA16*(1-AA17)</f>
        <v/>
      </c>
      <c r="AB18">
        <f>AB16*(1-AB17)</f>
        <v/>
      </c>
      <c r="AE18">
        <f>AE16*(1-AE17)</f>
        <v/>
      </c>
      <c r="AF18">
        <f>AF16*(1-AF17)</f>
        <v/>
      </c>
      <c r="AG18">
        <f>AG16*(1-AG17)</f>
        <v/>
      </c>
      <c r="AH18">
        <f>AH16*(1-AH17)</f>
        <v/>
      </c>
      <c r="AI18">
        <f>AI16*(1-AI17)</f>
        <v/>
      </c>
      <c r="AL18">
        <f>AL16*(1-AL17)</f>
        <v/>
      </c>
      <c r="AM18">
        <f>AM16*(1-AM17)</f>
        <v/>
      </c>
      <c r="AN18">
        <f>AN16*(1-AN17)</f>
        <v/>
      </c>
      <c r="AO18">
        <f>AO16*(1-AO17)</f>
        <v/>
      </c>
      <c r="AP18">
        <f>AP16*(1-AP17)</f>
        <v/>
      </c>
      <c r="AS18">
        <f>AS16*(1-AS17)</f>
        <v/>
      </c>
      <c r="AT18">
        <f>AT16*(1-AT17)</f>
        <v/>
      </c>
      <c r="AU18">
        <f>AU16*(1-AU17)</f>
        <v/>
      </c>
      <c r="AV18">
        <f>AV16*(1-AV17)</f>
        <v/>
      </c>
      <c r="AW18">
        <f>AW16*(1-AW17)</f>
        <v/>
      </c>
      <c r="AZ18">
        <f>AZ16*(1-AZ17)</f>
        <v/>
      </c>
      <c r="BA18">
        <f>BA16*(1-BA17)</f>
        <v/>
      </c>
      <c r="BB18">
        <f>BB16*(1-BB17)</f>
        <v/>
      </c>
      <c r="BC18">
        <f>BC16*(1-BC17)</f>
        <v/>
      </c>
      <c r="BD18">
        <f>BD16*(1-BD17)</f>
        <v/>
      </c>
      <c r="BG18">
        <f>BG16*(1-BG17)</f>
        <v/>
      </c>
      <c r="BH18">
        <f>BH16*(1-BH17)</f>
        <v/>
      </c>
      <c r="BI18">
        <f>BI16*(1-BI17)</f>
        <v/>
      </c>
      <c r="BJ18">
        <f>BJ16*(1-BJ17)</f>
        <v/>
      </c>
      <c r="BK18">
        <f>BK16*(1-BK17)</f>
        <v/>
      </c>
    </row>
    <row r="19">
      <c r="J19">
        <f>J14*Forecast!B12</f>
        <v/>
      </c>
      <c r="K19">
        <f>K14*Forecast!C12</f>
        <v/>
      </c>
      <c r="L19">
        <f>L14*Forecast!D12</f>
        <v/>
      </c>
      <c r="M19">
        <f>M14*Forecast!E12</f>
        <v/>
      </c>
      <c r="N19">
        <f>N14*Forecast!F12</f>
        <v/>
      </c>
      <c r="Q19">
        <f>Q14*Forecast!B12</f>
        <v/>
      </c>
      <c r="R19">
        <f>R14*Forecast!C12</f>
        <v/>
      </c>
      <c r="S19">
        <f>S14*Forecast!D12</f>
        <v/>
      </c>
      <c r="T19">
        <f>T14*Forecast!E12</f>
        <v/>
      </c>
      <c r="U19">
        <f>U14*Forecast!F12</f>
        <v/>
      </c>
      <c r="X19">
        <f>X14*Forecast!B12</f>
        <v/>
      </c>
      <c r="Y19">
        <f>Y14*Forecast!C12</f>
        <v/>
      </c>
      <c r="Z19">
        <f>Z14*Forecast!D12</f>
        <v/>
      </c>
      <c r="AA19">
        <f>AA14*Forecast!E12</f>
        <v/>
      </c>
      <c r="AB19">
        <f>AB14*Forecast!F12</f>
        <v/>
      </c>
      <c r="AE19">
        <f>AE14*Forecast!B12</f>
        <v/>
      </c>
      <c r="AF19">
        <f>AF14*Forecast!C12</f>
        <v/>
      </c>
      <c r="AG19">
        <f>AG14*Forecast!D12</f>
        <v/>
      </c>
      <c r="AH19">
        <f>AH14*Forecast!E12</f>
        <v/>
      </c>
      <c r="AI19">
        <f>AI14*Forecast!F12</f>
        <v/>
      </c>
      <c r="AL19">
        <f>AL14*Forecast!B12</f>
        <v/>
      </c>
      <c r="AM19">
        <f>AM14*Forecast!C12</f>
        <v/>
      </c>
      <c r="AN19">
        <f>AN14*Forecast!D12</f>
        <v/>
      </c>
      <c r="AO19">
        <f>AO14*Forecast!E12</f>
        <v/>
      </c>
      <c r="AP19">
        <f>AP14*Forecast!F12</f>
        <v/>
      </c>
      <c r="AS19">
        <f>AS14*Forecast!B12</f>
        <v/>
      </c>
      <c r="AT19">
        <f>AT14*Forecast!C12</f>
        <v/>
      </c>
      <c r="AU19">
        <f>AU14*Forecast!D12</f>
        <v/>
      </c>
      <c r="AV19">
        <f>AV14*Forecast!E12</f>
        <v/>
      </c>
      <c r="AW19">
        <f>AW14*Forecast!F12</f>
        <v/>
      </c>
      <c r="AZ19">
        <f>AZ14*Forecast!B12</f>
        <v/>
      </c>
      <c r="BA19">
        <f>BA14*Forecast!C12</f>
        <v/>
      </c>
      <c r="BB19">
        <f>BB14*Forecast!D12</f>
        <v/>
      </c>
      <c r="BC19">
        <f>BC14*Forecast!E12</f>
        <v/>
      </c>
      <c r="BD19">
        <f>BD14*Forecast!F12</f>
        <v/>
      </c>
      <c r="BG19">
        <f>BG14*Forecast!B12</f>
        <v/>
      </c>
      <c r="BH19">
        <f>BH14*Forecast!C12</f>
        <v/>
      </c>
      <c r="BI19">
        <f>BI14*Forecast!D12</f>
        <v/>
      </c>
      <c r="BJ19">
        <f>BJ14*Forecast!E12</f>
        <v/>
      </c>
      <c r="BK19">
        <f>BK14*Forecast!F12</f>
        <v/>
      </c>
    </row>
    <row r="20">
      <c r="J20">
        <f>Forecast!B14</f>
        <v/>
      </c>
      <c r="K20">
        <f>Forecast!$B$14+(($B$6-Forecast!$B$14)*1/4)</f>
        <v/>
      </c>
      <c r="L20">
        <f>Forecast!$B$14+(($B$6-Forecast!$B$14)*2/4)</f>
        <v/>
      </c>
      <c r="M20">
        <f>Forecast!$B$14+(($B$6-Forecast!$B$14)*3/4)</f>
        <v/>
      </c>
      <c r="N20">
        <f>Forecast!$B$14+(($B$6-Forecast!$B$14)*4/4)</f>
        <v/>
      </c>
      <c r="Q20">
        <f>Forecast!B14</f>
        <v/>
      </c>
      <c r="R20">
        <f>Forecast!$B$14+(($B$6-Forecast!$B$14)*1/4)</f>
        <v/>
      </c>
      <c r="S20">
        <f>Forecast!$B$14+(($B$6-Forecast!$B$14)*2/4)</f>
        <v/>
      </c>
      <c r="T20">
        <f>Forecast!$B$14+(($B$6-Forecast!$B$14)*3/4)</f>
        <v/>
      </c>
      <c r="U20">
        <f>Forecast!$B$14+(($B$6-Forecast!$B$14)*4/4)</f>
        <v/>
      </c>
      <c r="X20">
        <f>Forecast!B14</f>
        <v/>
      </c>
      <c r="Y20">
        <f>Forecast!$B$14+(($C$6-Forecast!$B$14)*1/4)</f>
        <v/>
      </c>
      <c r="Z20">
        <f>Forecast!$B$14+(($C$6-Forecast!$B$14)*2/4)</f>
        <v/>
      </c>
      <c r="AA20">
        <f>Forecast!$B$14+(($C$6-Forecast!$B$14)*3/4)</f>
        <v/>
      </c>
      <c r="AB20">
        <f>Forecast!$B$14+(($C$6-Forecast!$B$14)*4/4)</f>
        <v/>
      </c>
      <c r="AE20">
        <f>Forecast!B14</f>
        <v/>
      </c>
      <c r="AF20">
        <f>Forecast!$B$14+(($D$6-Forecast!$B$14)*1/4)</f>
        <v/>
      </c>
      <c r="AG20">
        <f>Forecast!$B$14+(($D$6-Forecast!$B$14)*2/4)</f>
        <v/>
      </c>
      <c r="AH20">
        <f>Forecast!$B$14+(($D$6-Forecast!$B$14)*3/4)</f>
        <v/>
      </c>
      <c r="AI20">
        <f>Forecast!$B$14+(($D$6-Forecast!$B$14)*4/4)</f>
        <v/>
      </c>
      <c r="AL20">
        <f>Forecast!B14</f>
        <v/>
      </c>
      <c r="AM20">
        <f>Forecast!$B$14+(($B$6-Forecast!$B$14)*1/4)</f>
        <v/>
      </c>
      <c r="AN20">
        <f>Forecast!$B$14+(($B$6-Forecast!$B$14)*2/4)</f>
        <v/>
      </c>
      <c r="AO20">
        <f>Forecast!$B$14+(($B$6-Forecast!$B$14)*3/4)</f>
        <v/>
      </c>
      <c r="AP20">
        <f>Forecast!$B$14+(($B$6-Forecast!$B$14)*4/4)</f>
        <v/>
      </c>
      <c r="AS20">
        <f>Forecast!B14</f>
        <v/>
      </c>
      <c r="AT20">
        <f>Forecast!$B$14+(($B$6-Forecast!$B$14)*1/4)</f>
        <v/>
      </c>
      <c r="AU20">
        <f>Forecast!$B$14+(($B$6-Forecast!$B$14)*2/4)</f>
        <v/>
      </c>
      <c r="AV20">
        <f>Forecast!$B$14+(($B$6-Forecast!$B$14)*3/4)</f>
        <v/>
      </c>
      <c r="AW20">
        <f>Forecast!$B$14+(($B$6-Forecast!$B$14)*4/4)</f>
        <v/>
      </c>
      <c r="AZ20">
        <f>Forecast!B14</f>
        <v/>
      </c>
      <c r="BA20">
        <f>Forecast!$B$14+(($B$6-Forecast!$B$14)*1/4)</f>
        <v/>
      </c>
      <c r="BB20">
        <f>Forecast!$B$14+(($B$6-Forecast!$B$14)*2/4)</f>
        <v/>
      </c>
      <c r="BC20">
        <f>Forecast!$B$14+(($B$6-Forecast!$B$14)*3/4)</f>
        <v/>
      </c>
      <c r="BD20">
        <f>Forecast!$B$14+(($B$6-Forecast!$B$14)*4/4)</f>
        <v/>
      </c>
      <c r="BG20">
        <f>Forecast!B14</f>
        <v/>
      </c>
      <c r="BH20">
        <f>Forecast!$B$14+(($B$6-Forecast!$B$14)*1/4)</f>
        <v/>
      </c>
      <c r="BI20">
        <f>Forecast!$B$14+(($B$6-Forecast!$B$14)*2/4)</f>
        <v/>
      </c>
      <c r="BJ20">
        <f>Forecast!$B$14+(($B$6-Forecast!$B$14)*3/4)</f>
        <v/>
      </c>
      <c r="BK20">
        <f>Forecast!$B$14+(($B$6-Forecast!$B$14)*4/4)</f>
        <v/>
      </c>
    </row>
    <row r="21">
      <c r="J21">
        <f>J14*J20</f>
        <v/>
      </c>
      <c r="K21">
        <f>K14*K20</f>
        <v/>
      </c>
      <c r="L21">
        <f>L14*L20</f>
        <v/>
      </c>
      <c r="M21">
        <f>M14*M20</f>
        <v/>
      </c>
      <c r="N21">
        <f>N14*N20</f>
        <v/>
      </c>
      <c r="Q21">
        <f>Q14*Q20</f>
        <v/>
      </c>
      <c r="R21">
        <f>R14*R20</f>
        <v/>
      </c>
      <c r="S21">
        <f>S14*S20</f>
        <v/>
      </c>
      <c r="T21">
        <f>T14*T20</f>
        <v/>
      </c>
      <c r="U21">
        <f>U14*U20</f>
        <v/>
      </c>
      <c r="X21">
        <f>X14*X20</f>
        <v/>
      </c>
      <c r="Y21">
        <f>Y14*Y20</f>
        <v/>
      </c>
      <c r="Z21">
        <f>Z14*Z20</f>
        <v/>
      </c>
      <c r="AA21">
        <f>AA14*AA20</f>
        <v/>
      </c>
      <c r="AB21">
        <f>AB14*AB20</f>
        <v/>
      </c>
      <c r="AE21">
        <f>AE14*AE20</f>
        <v/>
      </c>
      <c r="AF21">
        <f>AF14*AF20</f>
        <v/>
      </c>
      <c r="AG21">
        <f>AG14*AG20</f>
        <v/>
      </c>
      <c r="AH21">
        <f>AH14*AH20</f>
        <v/>
      </c>
      <c r="AI21">
        <f>AI14*AI20</f>
        <v/>
      </c>
      <c r="AL21">
        <f>AL14*AL20</f>
        <v/>
      </c>
      <c r="AM21">
        <f>AM14*AM20</f>
        <v/>
      </c>
      <c r="AN21">
        <f>AN14*AN20</f>
        <v/>
      </c>
      <c r="AO21">
        <f>AO14*AO20</f>
        <v/>
      </c>
      <c r="AP21">
        <f>AP14*AP20</f>
        <v/>
      </c>
      <c r="AS21">
        <f>AS14*AS20</f>
        <v/>
      </c>
      <c r="AT21">
        <f>AT14*AT20</f>
        <v/>
      </c>
      <c r="AU21">
        <f>AU14*AU20</f>
        <v/>
      </c>
      <c r="AV21">
        <f>AV14*AV20</f>
        <v/>
      </c>
      <c r="AW21">
        <f>AW14*AW20</f>
        <v/>
      </c>
      <c r="AZ21">
        <f>AZ14*AZ20</f>
        <v/>
      </c>
      <c r="BA21">
        <f>BA14*BA20</f>
        <v/>
      </c>
      <c r="BB21">
        <f>BB14*BB20</f>
        <v/>
      </c>
      <c r="BC21">
        <f>BC14*BC20</f>
        <v/>
      </c>
      <c r="BD21">
        <f>BD14*BD20</f>
        <v/>
      </c>
      <c r="BG21">
        <f>BG14*BG20</f>
        <v/>
      </c>
      <c r="BH21">
        <f>BH14*BH20</f>
        <v/>
      </c>
      <c r="BI21">
        <f>BI14*BI20</f>
        <v/>
      </c>
      <c r="BJ21">
        <f>BJ14*BJ20</f>
        <v/>
      </c>
      <c r="BK21">
        <f>BK14*BK20</f>
        <v/>
      </c>
    </row>
    <row r="22">
      <c r="J22">
        <f>Forecast!B16</f>
        <v/>
      </c>
      <c r="K22">
        <f>Forecast!C16</f>
        <v/>
      </c>
      <c r="L22">
        <f>Forecast!D16</f>
        <v/>
      </c>
      <c r="M22">
        <f>Forecast!E16</f>
        <v/>
      </c>
      <c r="N22">
        <f>Forecast!F16</f>
        <v/>
      </c>
      <c r="Q22">
        <f>Forecast!B16</f>
        <v/>
      </c>
      <c r="R22">
        <f>Forecast!C16</f>
        <v/>
      </c>
      <c r="S22">
        <f>Forecast!D16</f>
        <v/>
      </c>
      <c r="T22">
        <f>Forecast!E16</f>
        <v/>
      </c>
      <c r="U22">
        <f>Forecast!F16</f>
        <v/>
      </c>
      <c r="X22">
        <f>Forecast!B16</f>
        <v/>
      </c>
      <c r="Y22">
        <f>Forecast!C16</f>
        <v/>
      </c>
      <c r="Z22">
        <f>Forecast!D16</f>
        <v/>
      </c>
      <c r="AA22">
        <f>Forecast!E16</f>
        <v/>
      </c>
      <c r="AB22">
        <f>Forecast!F16</f>
        <v/>
      </c>
      <c r="AE22">
        <f>Forecast!B16</f>
        <v/>
      </c>
      <c r="AF22">
        <f>Forecast!C16</f>
        <v/>
      </c>
      <c r="AG22">
        <f>Forecast!D16</f>
        <v/>
      </c>
      <c r="AH22">
        <f>Forecast!E16</f>
        <v/>
      </c>
      <c r="AI22">
        <f>Forecast!F16</f>
        <v/>
      </c>
      <c r="AL22">
        <f>Forecast!B16</f>
        <v/>
      </c>
      <c r="AM22">
        <f>Forecast!C16</f>
        <v/>
      </c>
      <c r="AN22">
        <f>Forecast!D16</f>
        <v/>
      </c>
      <c r="AO22">
        <f>Forecast!E16</f>
        <v/>
      </c>
      <c r="AP22">
        <f>Forecast!F16</f>
        <v/>
      </c>
      <c r="AS22">
        <f>Forecast!B16</f>
        <v/>
      </c>
      <c r="AT22">
        <f>Forecast!C16</f>
        <v/>
      </c>
      <c r="AU22">
        <f>Forecast!D16</f>
        <v/>
      </c>
      <c r="AV22">
        <f>Forecast!E16</f>
        <v/>
      </c>
      <c r="AW22">
        <f>Forecast!F16</f>
        <v/>
      </c>
      <c r="AZ22">
        <f>Forecast!B16</f>
        <v/>
      </c>
      <c r="BA22">
        <f>Forecast!C16</f>
        <v/>
      </c>
      <c r="BB22">
        <f>Forecast!D16</f>
        <v/>
      </c>
      <c r="BC22">
        <f>Forecast!E16</f>
        <v/>
      </c>
      <c r="BD22">
        <f>Forecast!F16</f>
        <v/>
      </c>
      <c r="BG22">
        <f>Forecast!B16</f>
        <v/>
      </c>
      <c r="BH22">
        <f>Forecast!C16</f>
        <v/>
      </c>
      <c r="BI22">
        <f>Forecast!D16</f>
        <v/>
      </c>
      <c r="BJ22">
        <f>Forecast!E16</f>
        <v/>
      </c>
      <c r="BK22">
        <f>Forecast!F16</f>
        <v/>
      </c>
    </row>
    <row r="23">
      <c r="J23">
        <f>J18+J19-J21-J22</f>
        <v/>
      </c>
      <c r="K23">
        <f>K18+K19-K21-K22</f>
        <v/>
      </c>
      <c r="L23">
        <f>L18+L19-L21-L22</f>
        <v/>
      </c>
      <c r="M23">
        <f>M18+M19-M21-M22</f>
        <v/>
      </c>
      <c r="N23">
        <f>N18+N19-N21-N22</f>
        <v/>
      </c>
      <c r="Q23">
        <f>Q18+Q19-Q21-Q22</f>
        <v/>
      </c>
      <c r="R23">
        <f>R18+R19-R21-R22</f>
        <v/>
      </c>
      <c r="S23">
        <f>S18+S19-S21-S22</f>
        <v/>
      </c>
      <c r="T23">
        <f>T18+T19-T21-T22</f>
        <v/>
      </c>
      <c r="U23">
        <f>U18+U19-U21-U22</f>
        <v/>
      </c>
      <c r="X23">
        <f>X18+X19-X21-X22</f>
        <v/>
      </c>
      <c r="Y23">
        <f>Y18+Y19-Y21-Y22</f>
        <v/>
      </c>
      <c r="Z23">
        <f>Z18+Z19-Z21-Z22</f>
        <v/>
      </c>
      <c r="AA23">
        <f>AA18+AA19-AA21-AA22</f>
        <v/>
      </c>
      <c r="AB23">
        <f>AB18+AB19-AB21-AB22</f>
        <v/>
      </c>
      <c r="AE23">
        <f>AE18+AE19-AE21-AE22</f>
        <v/>
      </c>
      <c r="AF23">
        <f>AF18+AF19-AF21-AF22</f>
        <v/>
      </c>
      <c r="AG23">
        <f>AG18+AG19-AG21-AG22</f>
        <v/>
      </c>
      <c r="AH23">
        <f>AH18+AH19-AH21-AH22</f>
        <v/>
      </c>
      <c r="AI23">
        <f>AI18+AI19-AI21-AI22</f>
        <v/>
      </c>
      <c r="AL23">
        <f>AL18+AL19-AL21-AL22</f>
        <v/>
      </c>
      <c r="AM23">
        <f>AM18+AM19-AM21-AM22</f>
        <v/>
      </c>
      <c r="AN23">
        <f>AN18+AN19-AN21-AN22</f>
        <v/>
      </c>
      <c r="AO23">
        <f>AO18+AO19-AO21-AO22</f>
        <v/>
      </c>
      <c r="AP23">
        <f>AP18+AP19-AP21-AP22</f>
        <v/>
      </c>
      <c r="AS23">
        <f>AS18+AS19-AS21-AS22</f>
        <v/>
      </c>
      <c r="AT23">
        <f>AT18+AT19-AT21-AT22</f>
        <v/>
      </c>
      <c r="AU23">
        <f>AU18+AU19-AU21-AU22</f>
        <v/>
      </c>
      <c r="AV23">
        <f>AV18+AV19-AV21-AV22</f>
        <v/>
      </c>
      <c r="AW23">
        <f>AW18+AW19-AW21-AW22</f>
        <v/>
      </c>
      <c r="AZ23">
        <f>AZ18+AZ19-AZ21-AZ22</f>
        <v/>
      </c>
      <c r="BA23">
        <f>BA18+BA19-BA21-BA22</f>
        <v/>
      </c>
      <c r="BB23">
        <f>BB18+BB19-BB21-BB22</f>
        <v/>
      </c>
      <c r="BC23">
        <f>BC18+BC19-BC21-BC22</f>
        <v/>
      </c>
      <c r="BD23">
        <f>BD18+BD19-BD21-BD22</f>
        <v/>
      </c>
      <c r="BG23">
        <f>BG18+BG19-BG21-BG22</f>
        <v/>
      </c>
      <c r="BH23">
        <f>BH18+BH19-BH21-BH22</f>
        <v/>
      </c>
      <c r="BI23">
        <f>BI18+BI19-BI21-BI22</f>
        <v/>
      </c>
      <c r="BJ23">
        <f>BJ18+BJ19-BJ21-BJ22</f>
        <v/>
      </c>
      <c r="BK23">
        <f>BK18+BK19-BK21-BK22</f>
        <v/>
      </c>
    </row>
    <row r="24">
      <c r="J24">
        <f>1/((1+$B$7)^1)</f>
        <v/>
      </c>
      <c r="K24">
        <f>1/((1+$B$7)^2)</f>
        <v/>
      </c>
      <c r="L24">
        <f>1/((1+$B$7)^3)</f>
        <v/>
      </c>
      <c r="M24">
        <f>1/((1+$B$7)^4)</f>
        <v/>
      </c>
      <c r="N24">
        <f>1/((1+$B$7)^5)</f>
        <v/>
      </c>
      <c r="Q24">
        <f>1/((1+$B$7)^1)</f>
        <v/>
      </c>
      <c r="R24">
        <f>1/((1+$B$7)^2)</f>
        <v/>
      </c>
      <c r="S24">
        <f>1/((1+$B$7)^3)</f>
        <v/>
      </c>
      <c r="T24">
        <f>1/((1+$B$7)^4)</f>
        <v/>
      </c>
      <c r="U24">
        <f>1/((1+$B$7)^5)</f>
        <v/>
      </c>
      <c r="X24">
        <f>1/((1+$B$7)^1)</f>
        <v/>
      </c>
      <c r="Y24">
        <f>1/((1+$B$7)^2)</f>
        <v/>
      </c>
      <c r="Z24">
        <f>1/((1+$B$7)^3)</f>
        <v/>
      </c>
      <c r="AA24">
        <f>1/((1+$B$7)^4)</f>
        <v/>
      </c>
      <c r="AB24">
        <f>1/((1+$B$7)^5)</f>
        <v/>
      </c>
      <c r="AE24">
        <f>1/((1+$B$7)^1)</f>
        <v/>
      </c>
      <c r="AF24">
        <f>1/((1+$B$7)^2)</f>
        <v/>
      </c>
      <c r="AG24">
        <f>1/((1+$B$7)^3)</f>
        <v/>
      </c>
      <c r="AH24">
        <f>1/((1+$B$7)^4)</f>
        <v/>
      </c>
      <c r="AI24">
        <f>1/((1+$B$7)^5)</f>
        <v/>
      </c>
      <c r="AL24">
        <f>1/((1+$C$7)^1)</f>
        <v/>
      </c>
      <c r="AM24">
        <f>1/((1+$C$7)^2)</f>
        <v/>
      </c>
      <c r="AN24">
        <f>1/((1+$C$7)^3)</f>
        <v/>
      </c>
      <c r="AO24">
        <f>1/((1+$C$7)^4)</f>
        <v/>
      </c>
      <c r="AP24">
        <f>1/((1+$C$7)^5)</f>
        <v/>
      </c>
      <c r="AS24">
        <f>1/((1+$D$7)^1)</f>
        <v/>
      </c>
      <c r="AT24">
        <f>1/((1+$D$7)^2)</f>
        <v/>
      </c>
      <c r="AU24">
        <f>1/((1+$D$7)^3)</f>
        <v/>
      </c>
      <c r="AV24">
        <f>1/((1+$D$7)^4)</f>
        <v/>
      </c>
      <c r="AW24">
        <f>1/((1+$D$7)^5)</f>
        <v/>
      </c>
      <c r="AZ24">
        <f>1/((1+$B$7)^1)</f>
        <v/>
      </c>
      <c r="BA24">
        <f>1/((1+$B$7)^2)</f>
        <v/>
      </c>
      <c r="BB24">
        <f>1/((1+$B$7)^3)</f>
        <v/>
      </c>
      <c r="BC24">
        <f>1/((1+$B$7)^4)</f>
        <v/>
      </c>
      <c r="BD24">
        <f>1/((1+$B$7)^5)</f>
        <v/>
      </c>
      <c r="BG24">
        <f>1/((1+$B$7)^1)</f>
        <v/>
      </c>
      <c r="BH24">
        <f>1/((1+$B$7)^2)</f>
        <v/>
      </c>
      <c r="BI24">
        <f>1/((1+$B$7)^3)</f>
        <v/>
      </c>
      <c r="BJ24">
        <f>1/((1+$B$7)^4)</f>
        <v/>
      </c>
      <c r="BK24">
        <f>1/((1+$B$7)^5)</f>
        <v/>
      </c>
    </row>
    <row r="25">
      <c r="J25">
        <f>J23*J24</f>
        <v/>
      </c>
      <c r="K25">
        <f>K23*K24</f>
        <v/>
      </c>
      <c r="L25">
        <f>L23*L24</f>
        <v/>
      </c>
      <c r="M25">
        <f>M23*M24</f>
        <v/>
      </c>
      <c r="N25">
        <f>N23*N24</f>
        <v/>
      </c>
      <c r="Q25">
        <f>Q23*Q24</f>
        <v/>
      </c>
      <c r="R25">
        <f>R23*R24</f>
        <v/>
      </c>
      <c r="S25">
        <f>S23*S24</f>
        <v/>
      </c>
      <c r="T25">
        <f>T23*T24</f>
        <v/>
      </c>
      <c r="U25">
        <f>U23*U24</f>
        <v/>
      </c>
      <c r="X25">
        <f>X23*X24</f>
        <v/>
      </c>
      <c r="Y25">
        <f>Y23*Y24</f>
        <v/>
      </c>
      <c r="Z25">
        <f>Z23*Z24</f>
        <v/>
      </c>
      <c r="AA25">
        <f>AA23*AA24</f>
        <v/>
      </c>
      <c r="AB25">
        <f>AB23*AB24</f>
        <v/>
      </c>
      <c r="AE25">
        <f>AE23*AE24</f>
        <v/>
      </c>
      <c r="AF25">
        <f>AF23*AF24</f>
        <v/>
      </c>
      <c r="AG25">
        <f>AG23*AG24</f>
        <v/>
      </c>
      <c r="AH25">
        <f>AH23*AH24</f>
        <v/>
      </c>
      <c r="AI25">
        <f>AI23*AI24</f>
        <v/>
      </c>
      <c r="AL25">
        <f>AL23*AL24</f>
        <v/>
      </c>
      <c r="AM25">
        <f>AM23*AM24</f>
        <v/>
      </c>
      <c r="AN25">
        <f>AN23*AN24</f>
        <v/>
      </c>
      <c r="AO25">
        <f>AO23*AO24</f>
        <v/>
      </c>
      <c r="AP25">
        <f>AP23*AP24</f>
        <v/>
      </c>
      <c r="AS25">
        <f>AS23*AS24</f>
        <v/>
      </c>
      <c r="AT25">
        <f>AT23*AT24</f>
        <v/>
      </c>
      <c r="AU25">
        <f>AU23*AU24</f>
        <v/>
      </c>
      <c r="AV25">
        <f>AV23*AV24</f>
        <v/>
      </c>
      <c r="AW25">
        <f>AW23*AW24</f>
        <v/>
      </c>
      <c r="AZ25">
        <f>AZ23*AZ24</f>
        <v/>
      </c>
      <c r="BA25">
        <f>BA23*BA24</f>
        <v/>
      </c>
      <c r="BB25">
        <f>BB23*BB24</f>
        <v/>
      </c>
      <c r="BC25">
        <f>BC23*BC24</f>
        <v/>
      </c>
      <c r="BD25">
        <f>BD23*BD24</f>
        <v/>
      </c>
      <c r="BG25">
        <f>BG23*BG24</f>
        <v/>
      </c>
      <c r="BH25">
        <f>BH23*BH24</f>
        <v/>
      </c>
      <c r="BI25">
        <f>BI23*BI24</f>
        <v/>
      </c>
      <c r="BJ25">
        <f>BJ23*BJ24</f>
        <v/>
      </c>
      <c r="BK25">
        <f>BK23*BK24</f>
        <v/>
      </c>
    </row>
    <row r="26">
      <c r="J26">
        <f>N23*(1+$B$8)/($B$7-$B$8)</f>
        <v/>
      </c>
      <c r="Q26">
        <f>U23*(1+$B$8)/($B$7-$B$8)</f>
        <v/>
      </c>
      <c r="X26">
        <f>AB23*(1+$B$8)/($B$7-$B$8)</f>
        <v/>
      </c>
      <c r="AE26">
        <f>AI23*(1+$B$8)/($B$7-$B$8)</f>
        <v/>
      </c>
      <c r="AL26">
        <f>AP23*(1+$B$8)/($C$7-$B$8)</f>
        <v/>
      </c>
      <c r="AS26">
        <f>AW23*(1+$B$8)/($D$7-$B$8)</f>
        <v/>
      </c>
      <c r="AZ26">
        <f>BD23*(1+$C$8)/($B$7-$C$8)</f>
        <v/>
      </c>
      <c r="BG26">
        <f>BK23*(1+$D$8)/($B$7-$D$8)</f>
        <v/>
      </c>
    </row>
    <row r="27">
      <c r="J27">
        <f>J26*N24</f>
        <v/>
      </c>
      <c r="Q27">
        <f>Q26*U24</f>
        <v/>
      </c>
      <c r="X27">
        <f>X26*AB24</f>
        <v/>
      </c>
      <c r="AE27">
        <f>AE26*AI24</f>
        <v/>
      </c>
      <c r="AL27">
        <f>AL26*AP24</f>
        <v/>
      </c>
      <c r="AS27">
        <f>AS26*AW24</f>
        <v/>
      </c>
      <c r="AZ27">
        <f>AZ26*BD24</f>
        <v/>
      </c>
      <c r="BG27">
        <f>BG26*BK24</f>
        <v/>
      </c>
    </row>
    <row r="28">
      <c r="J28">
        <f>SUM(J25:N25)+J27</f>
        <v/>
      </c>
      <c r="Q28">
        <f>SUM(Q25:U25)+Q27</f>
        <v/>
      </c>
      <c r="X28">
        <f>SUM(X25:AB25)+X27</f>
        <v/>
      </c>
      <c r="AE28">
        <f>SUM(AE25:AI25)+AE27</f>
        <v/>
      </c>
      <c r="AL28">
        <f>SUM(AL25:AP25)+AL27</f>
        <v/>
      </c>
      <c r="AS28">
        <f>SUM(AS25:AW25)+AS27</f>
        <v/>
      </c>
      <c r="AZ28">
        <f>SUM(AZ25:BD25)+AZ27</f>
        <v/>
      </c>
      <c r="BG28">
        <f>SUM(BG25:BK25)+BG27</f>
        <v/>
      </c>
    </row>
    <row r="29">
      <c r="J29">
        <f>J28-WACC!$B$8</f>
        <v/>
      </c>
      <c r="Q29">
        <f>Q28-WACC!$B$8</f>
        <v/>
      </c>
      <c r="X29">
        <f>X28-WACC!$B$8</f>
        <v/>
      </c>
      <c r="AE29">
        <f>AE28-WACC!$B$8</f>
        <v/>
      </c>
      <c r="AL29">
        <f>AL28-WACC!$B$8</f>
        <v/>
      </c>
      <c r="AS29">
        <f>AS28-WACC!$B$8</f>
        <v/>
      </c>
      <c r="AZ29">
        <f>AZ28-WACC!$B$8</f>
        <v/>
      </c>
      <c r="BG29">
        <f>BG28-WACC!$B$8</f>
        <v/>
      </c>
    </row>
    <row r="30">
      <c r="J30">
        <f>J29/WACC!$B$6</f>
        <v/>
      </c>
      <c r="Q30">
        <f>Q29/WACC!$B$6</f>
        <v/>
      </c>
      <c r="X30">
        <f>X29/WACC!$B$6</f>
        <v/>
      </c>
      <c r="AE30">
        <f>AE29/WACC!$B$6</f>
        <v/>
      </c>
      <c r="AL30">
        <f>AL29/WACC!$B$6</f>
        <v/>
      </c>
      <c r="AS30">
        <f>AS29/WACC!$B$6</f>
        <v/>
      </c>
      <c r="AZ30">
        <f>AZ29/WACC!$B$6</f>
        <v/>
      </c>
      <c r="BG30">
        <f>BG29/WACC!$B$6</f>
        <v/>
      </c>
    </row>
  </sheetData>
  <mergeCells count="3">
    <mergeCell ref="A2:H2"/>
    <mergeCell ref="A10:G10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2026-04-21T14:55:34Z</dcterms:created>
  <dcterms:modified xmlns:dcterms="http://purl.org/dc/terms/" xmlns:xsi="http://www.w3.org/2001/XMLSchema-instance" xsi:type="dcterms:W3CDTF">2026-04-21T15:56:22Z</dcterms:modified>
</cp:coreProperties>
</file>