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urces" sheetId="1" r:id="rId5"/>
    <sheet state="visible" name="Historical" sheetId="2" r:id="rId6"/>
    <sheet state="visible" name="Forecast" sheetId="3" r:id="rId7"/>
    <sheet state="visible" name="Comps" sheetId="4" r:id="rId8"/>
    <sheet state="visible" name="WACC" sheetId="5" r:id="rId9"/>
    <sheet state="visible" name="DCF" sheetId="6" r:id="rId10"/>
    <sheet state="visible" name="Sensitivity" sheetId="7" r:id="rId11"/>
    <sheet state="visible" name="Football_Field" sheetId="8" r:id="rId12"/>
  </sheets>
  <definedNames/>
  <calcPr/>
</workbook>
</file>

<file path=xl/sharedStrings.xml><?xml version="1.0" encoding="utf-8"?>
<sst xmlns="http://schemas.openxmlformats.org/spreadsheetml/2006/main" count="203" uniqueCount="166">
  <si>
    <t>Sources et conventions</t>
  </si>
  <si>
    <t>Projet finance Michelin, donnees collectees au 20 avril 2026</t>
  </si>
  <si>
    <t>Source</t>
  </si>
  <si>
    <t>Donnee utilisee</t>
  </si>
  <si>
    <t>Lien / fichier</t>
  </si>
  <si>
    <t>Michelin</t>
  </si>
  <si>
    <t>Financial information at December 31, 2025</t>
  </si>
  <si>
    <t>https://www.michelin.com/en/publications/group/financial-information-december-31-2025</t>
  </si>
  <si>
    <t>All Michelin key figures 2020-2025</t>
  </si>
  <si>
    <t>sources/michelin_key_figures_2020_2025.xlsx</t>
  </si>
  <si>
    <t>2025 Annual Results Guide</t>
  </si>
  <si>
    <t>sources/michelin_2025_annual_results_guide.pdf</t>
  </si>
  <si>
    <t>2025 Universal Registration Document</t>
  </si>
  <si>
    <t>sources/michelin_2025_urd.pdf</t>
  </si>
  <si>
    <t>Grand View Research</t>
  </si>
  <si>
    <t>Global tires market 2025-2030</t>
  </si>
  <si>
    <t>https://www.grandviewresearch.com/industry-analysis/tires-market-report</t>
  </si>
  <si>
    <t>StockAnalysis</t>
  </si>
  <si>
    <t>Michelin and peer valuation statistics</t>
  </si>
  <si>
    <t>https://stockanalysis.com/quote/epa/ML/statistics/</t>
  </si>
  <si>
    <t>CountryEconomy</t>
  </si>
  <si>
    <t>France 10-year bond yield</t>
  </si>
  <si>
    <t>https://countryeconomy.com/bonds/france</t>
  </si>
  <si>
    <t>Kroll</t>
  </si>
  <si>
    <t>Eurozone equity risk premium</t>
  </si>
  <si>
    <t>https://www.kroll.com/en/reports/cost-of-capital/recommended-eurozone-equity-risk-premium-corresponding-risk-free-rates</t>
  </si>
  <si>
    <t>Convention</t>
  </si>
  <si>
    <t>Valeur</t>
  </si>
  <si>
    <t>Unite des etats financiers</t>
  </si>
  <si>
    <t>EUR millions sauf indication contraire</t>
  </si>
  <si>
    <t>Cours de reference Michelin</t>
  </si>
  <si>
    <t>Actions diluees / en circulation</t>
  </si>
  <si>
    <t>684.74m</t>
  </si>
  <si>
    <t>Recommandation retenue</t>
  </si>
  <si>
    <t>Acheter</t>
  </si>
  <si>
    <t>Historique financier Michelin</t>
  </si>
  <si>
    <t>Source: fichier officiel Michelin key figures 2020-2025</t>
  </si>
  <si>
    <t>Chiffre d'affaires</t>
  </si>
  <si>
    <t>Croissance CA</t>
  </si>
  <si>
    <t>Segment EBITDA</t>
  </si>
  <si>
    <t>Marge EBITDA</t>
  </si>
  <si>
    <t>Resultat operationnel des secteurs</t>
  </si>
  <si>
    <t>Marge operationnelle secteurs</t>
  </si>
  <si>
    <t>Resultat operationnel</t>
  </si>
  <si>
    <t>Resultat net</t>
  </si>
  <si>
    <t>Marge nette</t>
  </si>
  <si>
    <t>Cash-flow operationnel</t>
  </si>
  <si>
    <t>Capex</t>
  </si>
  <si>
    <t>Capex / CA</t>
  </si>
  <si>
    <t>Free cash-flow</t>
  </si>
  <si>
    <t>FCF / CA</t>
  </si>
  <si>
    <t>Dette nette</t>
  </si>
  <si>
    <t>Dette nette / EBITDA</t>
  </si>
  <si>
    <t>Projection 2026E-2030E</t>
  </si>
  <si>
    <t>Scenario central: reprise graduelle des volumes, mix premium et discipline cash</t>
  </si>
  <si>
    <t>2026E</t>
  </si>
  <si>
    <t>2027E</t>
  </si>
  <si>
    <t>2028E</t>
  </si>
  <si>
    <t>2029E</t>
  </si>
  <si>
    <t>2030E</t>
  </si>
  <si>
    <t>EBITDA</t>
  </si>
  <si>
    <t>Marge EBIT secteurs</t>
  </si>
  <si>
    <t>EBIT secteurs</t>
  </si>
  <si>
    <t>Taux d'impot</t>
  </si>
  <si>
    <t>NOPAT</t>
  </si>
  <si>
    <t>D&amp;A / CA</t>
  </si>
  <si>
    <t>D&amp;A</t>
  </si>
  <si>
    <t>Variation BFR</t>
  </si>
  <si>
    <t>FCFF</t>
  </si>
  <si>
    <t>Comparables boursiers</t>
  </si>
  <si>
    <t>Multiples de marche ponctuels au 20 avril 2026 ou derniere cloture disponible</t>
  </si>
  <si>
    <t>Societe</t>
  </si>
  <si>
    <t>Ticker</t>
  </si>
  <si>
    <t>Pays</t>
  </si>
  <si>
    <t>Justification</t>
  </si>
  <si>
    <t>EV/CA</t>
  </si>
  <si>
    <t>EV/EBITDA</t>
  </si>
  <si>
    <t>EV/EBIT</t>
  </si>
  <si>
    <t>Bridgestone</t>
  </si>
  <si>
    <t>TYO:5108</t>
  </si>
  <si>
    <t>Japon</t>
  </si>
  <si>
    <t>Leader mondial pneus, exposition replacement/OE comparable</t>
  </si>
  <si>
    <t>Goodyear</t>
  </si>
  <si>
    <t>NASDAQ:GT</t>
  </si>
  <si>
    <t>Etats-Unis</t>
  </si>
  <si>
    <t>Pneumatiques purs, mais levier et marge faible</t>
  </si>
  <si>
    <t>Continental</t>
  </si>
  <si>
    <t>ETR:CON</t>
  </si>
  <si>
    <t>Allemagne</t>
  </si>
  <si>
    <t>Equipementier auto diversifie avec activite pneus</t>
  </si>
  <si>
    <t>Pirelli</t>
  </si>
  <si>
    <t>BIT:PIRC</t>
  </si>
  <si>
    <t>Italie</t>
  </si>
  <si>
    <t>Pneus premium, forte proximite avec Michelin en mix</t>
  </si>
  <si>
    <t>Yokohama Rubber</t>
  </si>
  <si>
    <t>TYO:5101</t>
  </si>
  <si>
    <t>Pneus et caoutchouc industriel, exposition Asie</t>
  </si>
  <si>
    <t>Hankook Tire</t>
  </si>
  <si>
    <t>KRX:161390</t>
  </si>
  <si>
    <t>Coree du Sud</t>
  </si>
  <si>
    <t>Pneus mondiaux, positionnement valeur/premium</t>
  </si>
  <si>
    <t>Application 2026E</t>
  </si>
  <si>
    <t>Multiple bas</t>
  </si>
  <si>
    <t>Multiple median</t>
  </si>
  <si>
    <t>Multiple haut</t>
  </si>
  <si>
    <t>Prix bas</t>
  </si>
  <si>
    <t>Prix median</t>
  </si>
  <si>
    <t>Prix haut</t>
  </si>
  <si>
    <t>EV / CA</t>
  </si>
  <si>
    <t>EV / EBITDA</t>
  </si>
  <si>
    <t>EV / EBIT</t>
  </si>
  <si>
    <t>Calcul du WACC</t>
  </si>
  <si>
    <t>Approche CAPM et structure de capital de marche</t>
  </si>
  <si>
    <t>Input</t>
  </si>
  <si>
    <t>Unite</t>
  </si>
  <si>
    <t>Cours Michelin</t>
  </si>
  <si>
    <t>EUR/action</t>
  </si>
  <si>
    <t>Actions en circulation</t>
  </si>
  <si>
    <t>m</t>
  </si>
  <si>
    <t>Capitalisation boursiere</t>
  </si>
  <si>
    <t>EURm</t>
  </si>
  <si>
    <t>Enterprise value de marche</t>
  </si>
  <si>
    <t>Taux sans risque France 10 ans</t>
  </si>
  <si>
    <t>%</t>
  </si>
  <si>
    <t>Prime de risque actions Eurozone</t>
  </si>
  <si>
    <t>Beta Michelin</t>
  </si>
  <si>
    <t>x</t>
  </si>
  <si>
    <t>Cout des fonds propres</t>
  </si>
  <si>
    <t>Cout de la dette avant impots</t>
  </si>
  <si>
    <t>Taux d'impot effectif</t>
  </si>
  <si>
    <t>Cout de la dette apres impots</t>
  </si>
  <si>
    <t>Poids fonds propres</t>
  </si>
  <si>
    <t>Poids dette nette</t>
  </si>
  <si>
    <t>.</t>
  </si>
  <si>
    <t>WACC retenu</t>
  </si>
  <si>
    <t>Croissance terminale</t>
  </si>
  <si>
    <t>Valorisation DCF</t>
  </si>
  <si>
    <t>FCFF 2026E-2030E + valeur terminale par croissance perpetuelle</t>
  </si>
  <si>
    <t>Facteur d'actualisation</t>
  </si>
  <si>
    <t>PV FCFF</t>
  </si>
  <si>
    <t>Synthese</t>
  </si>
  <si>
    <t>PV des FCFF explicites</t>
  </si>
  <si>
    <t>Valeur terminale</t>
  </si>
  <si>
    <t>PV valeur terminale</t>
  </si>
  <si>
    <t>Enterprise value DCF</t>
  </si>
  <si>
    <t>Equity value DCF</t>
  </si>
  <si>
    <t>Valeur par action DCF</t>
  </si>
  <si>
    <t>Cours actuel</t>
  </si>
  <si>
    <t>Potentiel DCF</t>
  </si>
  <si>
    <t>Sensibilite DCF</t>
  </si>
  <si>
    <t>Valeur par action selon WACC et croissance terminale</t>
  </si>
  <si>
    <t>WACC \ g</t>
  </si>
  <si>
    <t>Football field</t>
  </si>
  <si>
    <t>Synthese des valorisations par action</t>
  </si>
  <si>
    <t>Methode</t>
  </si>
  <si>
    <t>Bas</t>
  </si>
  <si>
    <t>Central</t>
  </si>
  <si>
    <t>Haut</t>
  </si>
  <si>
    <t>Commentaire</t>
  </si>
  <si>
    <t>Reference marche StockAnalysis, 20 avril 2026</t>
  </si>
  <si>
    <t>Comparables</t>
  </si>
  <si>
    <t>Application quartiles / mediane aux metrics 2026E</t>
  </si>
  <si>
    <t>DCF</t>
  </si>
  <si>
    <t>Sensibilite WACC et croissance terminale</t>
  </si>
  <si>
    <t>Objectif retenu</t>
  </si>
  <si>
    <t>Moyenne du DCF central et des comparables centraux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</si>
</sst>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#,##0.0%"/>
    <numFmt numFmtId="165" formatCode="0.0%"/>
    <numFmt numFmtId="166" formatCode="#,##0.0"/>
    <numFmt numFmtId="167" formatCode="#,##0.000"/>
    <numFmt numFmtId="168" formatCode="EUR 0.0"/>
  </numFmts>
  <fonts count="6">
    <font>
      <sz val="11.0"/>
      <color theme="1"/>
      <name val="Calibri"/>
      <scheme val="minor"/>
    </font>
    <font>
      <sz val="16.0"/>
      <color rgb="FF1F4E5F"/>
      <name val="Calibri"/>
    </font>
    <font>
      <sz val="11.0"/>
      <color theme="1"/>
      <name val="Calibri"/>
    </font>
    <font>
      <sz val="10.0"/>
      <color rgb="FF6B7280"/>
      <name val="Calibri"/>
    </font>
    <font>
      <sz val="11.0"/>
      <color rgb="FFFFFFFF"/>
      <name val="Calibri"/>
    </font>
    <font>
      <sz val="11.0"/>
      <color rgb="FF20252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1F4E5F"/>
        <bgColor rgb="FF1F4E5F"/>
      </patternFill>
    </fill>
    <fill>
      <patternFill patternType="solid">
        <fgColor rgb="FFF6F8FA"/>
        <bgColor rgb="FFF6F8FA"/>
      </patternFill>
    </fill>
  </fills>
  <borders count="3">
    <border/>
    <border>
      <bottom style="thin">
        <color rgb="FFD9DEE3"/>
      </bottom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D9DEE3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wrapText="1"/>
    </xf>
    <xf borderId="1" fillId="0" fontId="2" numFmtId="4" xfId="0" applyAlignment="1" applyBorder="1" applyFont="1" applyNumberFormat="1">
      <alignment horizontal="left" shrinkToFit="0" wrapText="1"/>
    </xf>
    <xf borderId="1" fillId="0" fontId="2" numFmtId="0" xfId="0" applyAlignment="1" applyBorder="1" applyFont="1">
      <alignment horizontal="left" shrinkToFit="0" wrapText="1"/>
    </xf>
    <xf borderId="0" fillId="0" fontId="2" numFmtId="0" xfId="0" applyAlignment="1" applyFont="1">
      <alignment shrinkToFit="0" wrapText="1"/>
    </xf>
    <xf borderId="1" fillId="0" fontId="3" numFmtId="0" xfId="0" applyAlignment="1" applyBorder="1" applyFont="1">
      <alignment horizontal="left" shrinkToFit="0" wrapText="1"/>
    </xf>
    <xf borderId="2" fillId="2" fontId="4" numFmtId="0" xfId="0" applyAlignment="1" applyBorder="1" applyFill="1" applyFont="1">
      <alignment horizontal="left" shrinkToFit="0" wrapText="1"/>
    </xf>
    <xf borderId="2" fillId="2" fontId="4" numFmtId="4" xfId="0" applyAlignment="1" applyBorder="1" applyFont="1" applyNumberFormat="1">
      <alignment horizontal="left" shrinkToFit="0" wrapText="1"/>
    </xf>
    <xf borderId="1" fillId="0" fontId="2" numFmtId="4" xfId="0" applyAlignment="1" applyBorder="1" applyFont="1" applyNumberFormat="1">
      <alignment horizontal="right" shrinkToFit="0" wrapText="1"/>
    </xf>
    <xf borderId="0" fillId="0" fontId="2" numFmtId="4" xfId="0" applyAlignment="1" applyFont="1" applyNumberFormat="1">
      <alignment shrinkToFit="0" wrapText="1"/>
    </xf>
    <xf borderId="0" fillId="0" fontId="2" numFmtId="0" xfId="0" applyFont="1"/>
    <xf borderId="1" fillId="0" fontId="2" numFmtId="3" xfId="0" applyAlignment="1" applyBorder="1" applyFont="1" applyNumberFormat="1">
      <alignment horizontal="left" shrinkToFit="0" wrapText="1"/>
    </xf>
    <xf borderId="2" fillId="2" fontId="4" numFmtId="3" xfId="0" applyAlignment="1" applyBorder="1" applyFont="1" applyNumberFormat="1">
      <alignment horizontal="left" shrinkToFit="0" wrapText="1"/>
    </xf>
    <xf borderId="2" fillId="3" fontId="5" numFmtId="0" xfId="0" applyAlignment="1" applyBorder="1" applyFill="1" applyFont="1">
      <alignment horizontal="left" shrinkToFit="0" wrapText="1"/>
    </xf>
    <xf borderId="1" fillId="0" fontId="2" numFmtId="3" xfId="0" applyAlignment="1" applyBorder="1" applyFont="1" applyNumberFormat="1">
      <alignment horizontal="right" shrinkToFit="0" wrapText="1"/>
    </xf>
    <xf borderId="1" fillId="0" fontId="2" numFmtId="164" xfId="0" applyAlignment="1" applyBorder="1" applyFont="1" applyNumberFormat="1">
      <alignment horizontal="right" shrinkToFit="0" wrapText="1"/>
    </xf>
    <xf borderId="1" fillId="0" fontId="2" numFmtId="165" xfId="0" applyAlignment="1" applyBorder="1" applyFont="1" applyNumberFormat="1">
      <alignment horizontal="right" shrinkToFit="0" wrapText="1"/>
    </xf>
    <xf borderId="1" fillId="0" fontId="2" numFmtId="166" xfId="0" applyAlignment="1" applyBorder="1" applyFont="1" applyNumberFormat="1">
      <alignment horizontal="right" shrinkToFit="0" wrapText="1"/>
    </xf>
    <xf borderId="0" fillId="0" fontId="2" numFmtId="3" xfId="0" applyAlignment="1" applyFont="1" applyNumberFormat="1">
      <alignment shrinkToFit="0" wrapText="1"/>
    </xf>
    <xf borderId="0" fillId="0" fontId="2" numFmtId="3" xfId="0" applyAlignment="1" applyFont="1" applyNumberFormat="1">
      <alignment horizontal="right" shrinkToFit="0" wrapText="1"/>
    </xf>
    <xf borderId="0" fillId="0" fontId="2" numFmtId="4" xfId="0" applyAlignment="1" applyFont="1" applyNumberFormat="1">
      <alignment horizontal="right" shrinkToFit="0" wrapText="1"/>
    </xf>
    <xf borderId="1" fillId="0" fontId="2" numFmtId="164" xfId="0" applyAlignment="1" applyBorder="1" applyFont="1" applyNumberFormat="1">
      <alignment horizontal="left" shrinkToFit="0" wrapText="1"/>
    </xf>
    <xf borderId="1" fillId="0" fontId="2" numFmtId="167" xfId="0" applyAlignment="1" applyBorder="1" applyFont="1" applyNumberFormat="1">
      <alignment horizontal="right" shrinkToFit="0" wrapText="1"/>
    </xf>
    <xf borderId="0" fillId="0" fontId="2" numFmtId="164" xfId="0" applyAlignment="1" applyFont="1" applyNumberFormat="1">
      <alignment horizontal="right" shrinkToFit="0" wrapText="1"/>
    </xf>
    <xf borderId="1" fillId="0" fontId="1" numFmtId="4" xfId="0" applyAlignment="1" applyBorder="1" applyFont="1" applyNumberFormat="1">
      <alignment horizontal="left" shrinkToFit="0" wrapText="1"/>
    </xf>
    <xf borderId="1" fillId="0" fontId="3" numFmtId="4" xfId="0" applyAlignment="1" applyBorder="1" applyFont="1" applyNumberFormat="1">
      <alignment horizontal="left" shrinkToFit="0" wrapText="1"/>
    </xf>
    <xf borderId="2" fillId="2" fontId="4" numFmtId="164" xfId="0" applyAlignment="1" applyBorder="1" applyFont="1" applyNumberFormat="1">
      <alignment horizontal="right" shrinkToFit="0" wrapText="1"/>
    </xf>
    <xf borderId="1" fillId="0" fontId="2" numFmtId="168" xfId="0" applyAlignment="1" applyBorder="1" applyFont="1" applyNumberFormat="1">
      <alignment horizontal="righ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34.0"/>
    <col customWidth="1" min="2" max="3" width="16.0"/>
    <col customWidth="1" min="4" max="23" width="8.71"/>
  </cols>
  <sheetData>
    <row r="1" ht="17.25" customHeight="1">
      <c r="A1" s="1" t="s">
        <v>0</v>
      </c>
      <c r="B1" s="2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7.25" customHeight="1">
      <c r="A2" s="5" t="s">
        <v>1</v>
      </c>
      <c r="B2" s="2"/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7.25" customHeight="1">
      <c r="A3" s="6"/>
      <c r="B3" s="7"/>
      <c r="C3" s="6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7.25" customHeight="1">
      <c r="A4" s="3" t="s">
        <v>2</v>
      </c>
      <c r="B4" s="2" t="s">
        <v>3</v>
      </c>
      <c r="C4" s="3" t="s">
        <v>4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84.75" customHeight="1">
      <c r="A5" s="3" t="s">
        <v>5</v>
      </c>
      <c r="B5" s="2" t="s">
        <v>6</v>
      </c>
      <c r="C5" s="3" t="s">
        <v>7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39.75" customHeight="1">
      <c r="A6" s="3" t="s">
        <v>5</v>
      </c>
      <c r="B6" s="2" t="s">
        <v>8</v>
      </c>
      <c r="C6" s="3" t="s">
        <v>9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9.75" customHeight="1">
      <c r="A7" s="3" t="s">
        <v>5</v>
      </c>
      <c r="B7" s="2" t="s">
        <v>10</v>
      </c>
      <c r="C7" s="3" t="s">
        <v>11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9.75" customHeight="1">
      <c r="A8" s="3" t="s">
        <v>5</v>
      </c>
      <c r="B8" s="2" t="s">
        <v>12</v>
      </c>
      <c r="C8" s="3" t="s">
        <v>13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62.25" customHeight="1">
      <c r="A9" s="3" t="s">
        <v>14</v>
      </c>
      <c r="B9" s="2" t="s">
        <v>15</v>
      </c>
      <c r="C9" s="3" t="s">
        <v>16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9.75" customHeight="1">
      <c r="A10" s="3" t="s">
        <v>17</v>
      </c>
      <c r="B10" s="2" t="s">
        <v>18</v>
      </c>
      <c r="C10" s="3" t="s">
        <v>19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9.75" customHeight="1">
      <c r="A11" s="3" t="s">
        <v>20</v>
      </c>
      <c r="B11" s="2" t="s">
        <v>21</v>
      </c>
      <c r="C11" s="3" t="s">
        <v>22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07.25" customHeight="1">
      <c r="A12" s="3" t="s">
        <v>23</v>
      </c>
      <c r="B12" s="2" t="s">
        <v>24</v>
      </c>
      <c r="C12" s="3" t="s">
        <v>25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7.25" customHeight="1">
      <c r="A13" s="3"/>
      <c r="B13" s="2"/>
      <c r="C13" s="3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8.75" customHeight="1">
      <c r="A14" s="6" t="s">
        <v>26</v>
      </c>
      <c r="B14" s="7" t="s">
        <v>27</v>
      </c>
      <c r="C14" s="6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39.75" customHeight="1">
      <c r="A15" s="3" t="s">
        <v>28</v>
      </c>
      <c r="B15" s="2" t="s">
        <v>29</v>
      </c>
      <c r="C15" s="3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7.25" customHeight="1">
      <c r="A16" s="3" t="s">
        <v>30</v>
      </c>
      <c r="B16" s="8">
        <v>32.24</v>
      </c>
      <c r="C16" s="3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7.25" customHeight="1">
      <c r="A17" s="3" t="s">
        <v>31</v>
      </c>
      <c r="B17" s="2" t="s">
        <v>32</v>
      </c>
      <c r="C17" s="3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7.25" customHeight="1">
      <c r="A18" s="3" t="s">
        <v>33</v>
      </c>
      <c r="B18" s="2" t="s">
        <v>34</v>
      </c>
      <c r="C18" s="3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9"/>
      <c r="C19" s="4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4"/>
      <c r="B20" s="9"/>
      <c r="C20" s="4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5.75" customHeight="1">
      <c r="A21" s="4"/>
      <c r="B21" s="9"/>
      <c r="C21" s="4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5.75" customHeight="1">
      <c r="A22" s="4"/>
      <c r="B22" s="9"/>
      <c r="C22" s="4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5.75" customHeight="1">
      <c r="A23" s="4"/>
      <c r="B23" s="9"/>
      <c r="C23" s="4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5.75" customHeight="1">
      <c r="A24" s="4"/>
      <c r="B24" s="9"/>
      <c r="C24" s="4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5.75" customHeight="1">
      <c r="A25" s="4"/>
      <c r="B25" s="9"/>
      <c r="C25" s="4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5.75" customHeight="1">
      <c r="A26" s="4"/>
      <c r="B26" s="9"/>
      <c r="C26" s="4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5.75" customHeight="1">
      <c r="A27" s="4"/>
      <c r="B27" s="9"/>
      <c r="C27" s="4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5.75" customHeight="1">
      <c r="A28" s="4"/>
      <c r="B28" s="9"/>
      <c r="C28" s="4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5.75" customHeight="1">
      <c r="A29" s="4"/>
      <c r="B29" s="9"/>
      <c r="C29" s="4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5.75" customHeight="1">
      <c r="A30" s="4"/>
      <c r="B30" s="9"/>
      <c r="C30" s="4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5.75" customHeight="1">
      <c r="A31" s="4"/>
      <c r="B31" s="9"/>
      <c r="C31" s="4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5.75" customHeight="1">
      <c r="A32" s="4"/>
      <c r="B32" s="9"/>
      <c r="C32" s="4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5.75" customHeight="1">
      <c r="A33" s="4"/>
      <c r="B33" s="9"/>
      <c r="C33" s="4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5.75" customHeight="1">
      <c r="A34" s="4"/>
      <c r="B34" s="9"/>
      <c r="C34" s="4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5.75" customHeight="1">
      <c r="A35" s="4"/>
      <c r="B35" s="9"/>
      <c r="C35" s="4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5.75" customHeight="1">
      <c r="A36" s="4"/>
      <c r="B36" s="9"/>
      <c r="C36" s="4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5.75" customHeight="1">
      <c r="A37" s="4"/>
      <c r="B37" s="9"/>
      <c r="C37" s="4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5.75" customHeight="1">
      <c r="A38" s="4"/>
      <c r="B38" s="9"/>
      <c r="C38" s="4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5.75" customHeight="1">
      <c r="A39" s="4"/>
      <c r="B39" s="9"/>
      <c r="C39" s="4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5.75" customHeight="1">
      <c r="A40" s="4"/>
      <c r="B40" s="9"/>
      <c r="C40" s="4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5.75" customHeight="1">
      <c r="A41" s="4"/>
      <c r="B41" s="9"/>
      <c r="C41" s="4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5.75" customHeight="1">
      <c r="A42" s="4"/>
      <c r="B42" s="9"/>
      <c r="C42" s="4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5.75" customHeight="1">
      <c r="A43" s="4"/>
      <c r="B43" s="9"/>
      <c r="C43" s="4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5.75" customHeight="1">
      <c r="A44" s="4"/>
      <c r="B44" s="9"/>
      <c r="C44" s="4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5.75" customHeight="1">
      <c r="A45" s="4"/>
      <c r="B45" s="9"/>
      <c r="C45" s="4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5.75" customHeight="1">
      <c r="A46" s="4"/>
      <c r="B46" s="9"/>
      <c r="C46" s="4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5.75" customHeight="1">
      <c r="A47" s="4"/>
      <c r="B47" s="9"/>
      <c r="C47" s="4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5.75" customHeight="1">
      <c r="A48" s="4"/>
      <c r="B48" s="9"/>
      <c r="C48" s="4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5.75" customHeight="1">
      <c r="A49" s="4"/>
      <c r="B49" s="9"/>
      <c r="C49" s="4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5.75" customHeight="1">
      <c r="A50" s="4"/>
      <c r="B50" s="9"/>
      <c r="C50" s="4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5.75" customHeight="1">
      <c r="A51" s="4"/>
      <c r="B51" s="9"/>
      <c r="C51" s="4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5.75" customHeight="1">
      <c r="A52" s="4"/>
      <c r="B52" s="9"/>
      <c r="C52" s="4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5.75" customHeight="1">
      <c r="A53" s="4"/>
      <c r="B53" s="9"/>
      <c r="C53" s="4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5.75" customHeight="1">
      <c r="A54" s="4"/>
      <c r="B54" s="9"/>
      <c r="C54" s="4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5.75" customHeight="1">
      <c r="A55" s="4"/>
      <c r="B55" s="9"/>
      <c r="C55" s="4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5.75" customHeight="1">
      <c r="A56" s="4"/>
      <c r="B56" s="9"/>
      <c r="C56" s="4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5.75" customHeight="1">
      <c r="A57" s="4"/>
      <c r="B57" s="9"/>
      <c r="C57" s="4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5.75" customHeight="1">
      <c r="A58" s="4"/>
      <c r="B58" s="9"/>
      <c r="C58" s="4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5.75" customHeight="1">
      <c r="A59" s="4"/>
      <c r="B59" s="9"/>
      <c r="C59" s="4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5.75" customHeight="1">
      <c r="A60" s="4"/>
      <c r="B60" s="9"/>
      <c r="C60" s="4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5.75" customHeight="1">
      <c r="A61" s="4"/>
      <c r="B61" s="9"/>
      <c r="C61" s="4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5.75" customHeight="1">
      <c r="A62" s="4"/>
      <c r="B62" s="9"/>
      <c r="C62" s="4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5.75" customHeight="1">
      <c r="A63" s="4"/>
      <c r="B63" s="9"/>
      <c r="C63" s="4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5.75" customHeight="1">
      <c r="A64" s="4"/>
      <c r="B64" s="9"/>
      <c r="C64" s="4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5.75" customHeight="1">
      <c r="A65" s="4"/>
      <c r="B65" s="9"/>
      <c r="C65" s="4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5.75" customHeight="1">
      <c r="A66" s="4"/>
      <c r="B66" s="9"/>
      <c r="C66" s="4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5.75" customHeight="1">
      <c r="A67" s="4"/>
      <c r="B67" s="9"/>
      <c r="C67" s="4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5.75" customHeight="1">
      <c r="A68" s="4"/>
      <c r="B68" s="9"/>
      <c r="C68" s="4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5.75" customHeight="1">
      <c r="A69" s="4"/>
      <c r="B69" s="9"/>
      <c r="C69" s="4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5.75" customHeight="1">
      <c r="A70" s="4"/>
      <c r="B70" s="9"/>
      <c r="C70" s="4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5.75" customHeight="1">
      <c r="A71" s="4"/>
      <c r="B71" s="9"/>
      <c r="C71" s="4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5.75" customHeight="1">
      <c r="A72" s="4"/>
      <c r="B72" s="9"/>
      <c r="C72" s="4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5.75" customHeight="1">
      <c r="A73" s="4"/>
      <c r="B73" s="9"/>
      <c r="C73" s="4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5.75" customHeight="1">
      <c r="A74" s="4"/>
      <c r="B74" s="9"/>
      <c r="C74" s="4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5.75" customHeight="1">
      <c r="A75" s="4"/>
      <c r="B75" s="9"/>
      <c r="C75" s="4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5.75" customHeight="1">
      <c r="A76" s="4"/>
      <c r="B76" s="9"/>
      <c r="C76" s="4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5.75" customHeight="1">
      <c r="A77" s="4"/>
      <c r="B77" s="9"/>
      <c r="C77" s="4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5.75" customHeight="1">
      <c r="A78" s="4"/>
      <c r="B78" s="9"/>
      <c r="C78" s="4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5.75" customHeight="1">
      <c r="A79" s="4"/>
      <c r="B79" s="9"/>
      <c r="C79" s="4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5.75" customHeight="1">
      <c r="A80" s="4"/>
      <c r="B80" s="9"/>
      <c r="C80" s="4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5.75" customHeight="1">
      <c r="A81" s="4"/>
      <c r="B81" s="9"/>
      <c r="C81" s="4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5.75" customHeight="1">
      <c r="A82" s="4"/>
      <c r="B82" s="9"/>
      <c r="C82" s="4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5.75" customHeight="1">
      <c r="A83" s="4"/>
      <c r="B83" s="9"/>
      <c r="C83" s="4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5.75" customHeight="1">
      <c r="A84" s="4"/>
      <c r="B84" s="9"/>
      <c r="C84" s="4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5.75" customHeight="1">
      <c r="A85" s="4"/>
      <c r="B85" s="9"/>
      <c r="C85" s="4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5.75" customHeight="1">
      <c r="A86" s="4"/>
      <c r="B86" s="9"/>
      <c r="C86" s="4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5.75" customHeight="1">
      <c r="A87" s="4"/>
      <c r="B87" s="9"/>
      <c r="C87" s="4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5.75" customHeight="1">
      <c r="A88" s="4"/>
      <c r="B88" s="9"/>
      <c r="C88" s="4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5.75" customHeight="1">
      <c r="A89" s="4"/>
      <c r="B89" s="9"/>
      <c r="C89" s="4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5.75" customHeight="1">
      <c r="A90" s="4"/>
      <c r="B90" s="9"/>
      <c r="C90" s="4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5.75" customHeight="1">
      <c r="A91" s="4"/>
      <c r="B91" s="9"/>
      <c r="C91" s="4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5.75" customHeight="1">
      <c r="A92" s="4"/>
      <c r="B92" s="9"/>
      <c r="C92" s="4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5.75" customHeight="1">
      <c r="A93" s="4"/>
      <c r="B93" s="9"/>
      <c r="C93" s="4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5.75" customHeight="1">
      <c r="A94" s="4"/>
      <c r="B94" s="9"/>
      <c r="C94" s="4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5.75" customHeight="1">
      <c r="A95" s="4"/>
      <c r="B95" s="9"/>
      <c r="C95" s="4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5.75" customHeight="1">
      <c r="A96" s="4"/>
      <c r="B96" s="9"/>
      <c r="C96" s="4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5.75" customHeight="1">
      <c r="A97" s="4"/>
      <c r="B97" s="9"/>
      <c r="C97" s="4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5.75" customHeight="1">
      <c r="A98" s="4"/>
      <c r="B98" s="9"/>
      <c r="C98" s="4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5.75" customHeight="1">
      <c r="A99" s="4"/>
      <c r="B99" s="9"/>
      <c r="C99" s="4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5.75" customHeight="1">
      <c r="A100" s="4"/>
      <c r="B100" s="9"/>
      <c r="C100" s="4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5.75" customHeight="1">
      <c r="A101" s="4"/>
      <c r="B101" s="9"/>
      <c r="C101" s="4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5.75" customHeight="1">
      <c r="A102" s="4"/>
      <c r="B102" s="9"/>
      <c r="C102" s="4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5.75" customHeight="1">
      <c r="A103" s="4"/>
      <c r="B103" s="9"/>
      <c r="C103" s="4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5.75" customHeight="1">
      <c r="A104" s="4"/>
      <c r="B104" s="9"/>
      <c r="C104" s="4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5.75" customHeight="1">
      <c r="A105" s="4"/>
      <c r="B105" s="9"/>
      <c r="C105" s="4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5.75" customHeight="1">
      <c r="A106" s="4"/>
      <c r="B106" s="9"/>
      <c r="C106" s="4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5.75" customHeight="1">
      <c r="A107" s="4"/>
      <c r="B107" s="9"/>
      <c r="C107" s="4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5.75" customHeight="1">
      <c r="A108" s="4"/>
      <c r="B108" s="9"/>
      <c r="C108" s="4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5.75" customHeight="1">
      <c r="A109" s="4"/>
      <c r="B109" s="9"/>
      <c r="C109" s="4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5.75" customHeight="1">
      <c r="A110" s="4"/>
      <c r="B110" s="9"/>
      <c r="C110" s="4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5.75" customHeight="1">
      <c r="A111" s="4"/>
      <c r="B111" s="9"/>
      <c r="C111" s="4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5.75" customHeight="1">
      <c r="A112" s="4"/>
      <c r="B112" s="9"/>
      <c r="C112" s="4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5.75" customHeight="1">
      <c r="A113" s="4"/>
      <c r="B113" s="9"/>
      <c r="C113" s="4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5.75" customHeight="1">
      <c r="A114" s="4"/>
      <c r="B114" s="9"/>
      <c r="C114" s="4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5.75" customHeight="1">
      <c r="A115" s="4"/>
      <c r="B115" s="9"/>
      <c r="C115" s="4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5.75" customHeight="1">
      <c r="A116" s="4"/>
      <c r="B116" s="9"/>
      <c r="C116" s="4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5.75" customHeight="1">
      <c r="A117" s="4"/>
      <c r="B117" s="9"/>
      <c r="C117" s="4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5.75" customHeight="1">
      <c r="A118" s="4"/>
      <c r="B118" s="9"/>
      <c r="C118" s="4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5.75" customHeight="1">
      <c r="A119" s="4"/>
      <c r="B119" s="9"/>
      <c r="C119" s="4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5.75" customHeight="1">
      <c r="A120" s="4"/>
      <c r="B120" s="9"/>
      <c r="C120" s="4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5.75" customHeight="1">
      <c r="A121" s="4"/>
      <c r="B121" s="9"/>
      <c r="C121" s="4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5.75" customHeight="1">
      <c r="A122" s="4"/>
      <c r="B122" s="9"/>
      <c r="C122" s="4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5.75" customHeight="1">
      <c r="A123" s="4"/>
      <c r="B123" s="9"/>
      <c r="C123" s="4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5.75" customHeight="1">
      <c r="A124" s="4"/>
      <c r="B124" s="9"/>
      <c r="C124" s="4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5.75" customHeight="1">
      <c r="A125" s="4"/>
      <c r="B125" s="9"/>
      <c r="C125" s="4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5.75" customHeight="1">
      <c r="A126" s="4"/>
      <c r="B126" s="9"/>
      <c r="C126" s="4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5.75" customHeight="1">
      <c r="A127" s="4"/>
      <c r="B127" s="9"/>
      <c r="C127" s="4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5.75" customHeight="1">
      <c r="A128" s="4"/>
      <c r="B128" s="9"/>
      <c r="C128" s="4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5.75" customHeight="1">
      <c r="A129" s="4"/>
      <c r="B129" s="9"/>
      <c r="C129" s="4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5.75" customHeight="1">
      <c r="A130" s="4"/>
      <c r="B130" s="9"/>
      <c r="C130" s="4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5.75" customHeight="1">
      <c r="A131" s="4"/>
      <c r="B131" s="9"/>
      <c r="C131" s="4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5.75" customHeight="1">
      <c r="A132" s="4"/>
      <c r="B132" s="9"/>
      <c r="C132" s="4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5.75" customHeight="1">
      <c r="A133" s="4"/>
      <c r="B133" s="9"/>
      <c r="C133" s="4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5.75" customHeight="1">
      <c r="A134" s="4"/>
      <c r="B134" s="9"/>
      <c r="C134" s="4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5.75" customHeight="1">
      <c r="A135" s="4"/>
      <c r="B135" s="9"/>
      <c r="C135" s="4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5.75" customHeight="1">
      <c r="A136" s="4"/>
      <c r="B136" s="9"/>
      <c r="C136" s="4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5.75" customHeight="1">
      <c r="A137" s="4"/>
      <c r="B137" s="9"/>
      <c r="C137" s="4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5.75" customHeight="1">
      <c r="A138" s="4"/>
      <c r="B138" s="9"/>
      <c r="C138" s="4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5.75" customHeight="1">
      <c r="A139" s="4"/>
      <c r="B139" s="9"/>
      <c r="C139" s="4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5.75" customHeight="1">
      <c r="A140" s="4"/>
      <c r="B140" s="9"/>
      <c r="C140" s="4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5.75" customHeight="1">
      <c r="A141" s="4"/>
      <c r="B141" s="9"/>
      <c r="C141" s="4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5.75" customHeight="1">
      <c r="A142" s="4"/>
      <c r="B142" s="9"/>
      <c r="C142" s="4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5.75" customHeight="1">
      <c r="A143" s="4"/>
      <c r="B143" s="9"/>
      <c r="C143" s="4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5.75" customHeight="1">
      <c r="A144" s="4"/>
      <c r="B144" s="9"/>
      <c r="C144" s="4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5.75" customHeight="1">
      <c r="A145" s="4"/>
      <c r="B145" s="9"/>
      <c r="C145" s="4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5.75" customHeight="1">
      <c r="A146" s="4"/>
      <c r="B146" s="9"/>
      <c r="C146" s="4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5.75" customHeight="1">
      <c r="A147" s="4"/>
      <c r="B147" s="9"/>
      <c r="C147" s="4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5.75" customHeight="1">
      <c r="A148" s="4"/>
      <c r="B148" s="9"/>
      <c r="C148" s="4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5.75" customHeight="1">
      <c r="A149" s="4"/>
      <c r="B149" s="9"/>
      <c r="C149" s="4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5.75" customHeight="1">
      <c r="A150" s="4"/>
      <c r="B150" s="9"/>
      <c r="C150" s="4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5.75" customHeight="1">
      <c r="A151" s="4"/>
      <c r="B151" s="9"/>
      <c r="C151" s="4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5.75" customHeight="1">
      <c r="A152" s="4"/>
      <c r="B152" s="9"/>
      <c r="C152" s="4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5.75" customHeight="1">
      <c r="A153" s="4"/>
      <c r="B153" s="9"/>
      <c r="C153" s="4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5.75" customHeight="1">
      <c r="A154" s="4"/>
      <c r="B154" s="9"/>
      <c r="C154" s="4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5.75" customHeight="1">
      <c r="A155" s="4"/>
      <c r="B155" s="9"/>
      <c r="C155" s="4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5.75" customHeight="1">
      <c r="A156" s="4"/>
      <c r="B156" s="9"/>
      <c r="C156" s="4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5.75" customHeight="1">
      <c r="A157" s="4"/>
      <c r="B157" s="9"/>
      <c r="C157" s="4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5.75" customHeight="1">
      <c r="A158" s="4"/>
      <c r="B158" s="9"/>
      <c r="C158" s="4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5.75" customHeight="1">
      <c r="A159" s="4"/>
      <c r="B159" s="9"/>
      <c r="C159" s="4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5.75" customHeight="1">
      <c r="A160" s="4"/>
      <c r="B160" s="9"/>
      <c r="C160" s="4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5.75" customHeight="1">
      <c r="A161" s="4"/>
      <c r="B161" s="9"/>
      <c r="C161" s="4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5.75" customHeight="1">
      <c r="A162" s="4"/>
      <c r="B162" s="9"/>
      <c r="C162" s="4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5.75" customHeight="1">
      <c r="A163" s="4"/>
      <c r="B163" s="9"/>
      <c r="C163" s="4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5.75" customHeight="1">
      <c r="A164" s="4"/>
      <c r="B164" s="9"/>
      <c r="C164" s="4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5.75" customHeight="1">
      <c r="A165" s="4"/>
      <c r="B165" s="9"/>
      <c r="C165" s="4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5.75" customHeight="1">
      <c r="A166" s="4"/>
      <c r="B166" s="9"/>
      <c r="C166" s="4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5.75" customHeight="1">
      <c r="A167" s="4"/>
      <c r="B167" s="9"/>
      <c r="C167" s="4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5.75" customHeight="1">
      <c r="A168" s="4"/>
      <c r="B168" s="9"/>
      <c r="C168" s="4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5.75" customHeight="1">
      <c r="A169" s="4"/>
      <c r="B169" s="9"/>
      <c r="C169" s="4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5.75" customHeight="1">
      <c r="A170" s="4"/>
      <c r="B170" s="9"/>
      <c r="C170" s="4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5.75" customHeight="1">
      <c r="A171" s="4"/>
      <c r="B171" s="9"/>
      <c r="C171" s="4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5.75" customHeight="1">
      <c r="A172" s="4"/>
      <c r="B172" s="9"/>
      <c r="C172" s="4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5.75" customHeight="1">
      <c r="A173" s="4"/>
      <c r="B173" s="9"/>
      <c r="C173" s="4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5.75" customHeight="1">
      <c r="A174" s="4"/>
      <c r="B174" s="9"/>
      <c r="C174" s="4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5.75" customHeight="1">
      <c r="A175" s="4"/>
      <c r="B175" s="9"/>
      <c r="C175" s="4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5.75" customHeight="1">
      <c r="A176" s="4"/>
      <c r="B176" s="9"/>
      <c r="C176" s="4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5.75" customHeight="1">
      <c r="A177" s="4"/>
      <c r="B177" s="9"/>
      <c r="C177" s="4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5.75" customHeight="1">
      <c r="A178" s="4"/>
      <c r="B178" s="9"/>
      <c r="C178" s="4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5.75" customHeight="1">
      <c r="A179" s="4"/>
      <c r="B179" s="9"/>
      <c r="C179" s="4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5.75" customHeight="1">
      <c r="A180" s="4"/>
      <c r="B180" s="9"/>
      <c r="C180" s="4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5.75" customHeight="1">
      <c r="A181" s="4"/>
      <c r="B181" s="9"/>
      <c r="C181" s="4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5.75" customHeight="1">
      <c r="A182" s="4"/>
      <c r="B182" s="9"/>
      <c r="C182" s="4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5.75" customHeight="1">
      <c r="A183" s="4"/>
      <c r="B183" s="9"/>
      <c r="C183" s="4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5.75" customHeight="1">
      <c r="A184" s="4"/>
      <c r="B184" s="9"/>
      <c r="C184" s="4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5.75" customHeight="1">
      <c r="A185" s="4"/>
      <c r="B185" s="9"/>
      <c r="C185" s="4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5.75" customHeight="1">
      <c r="A186" s="4"/>
      <c r="B186" s="9"/>
      <c r="C186" s="4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5.75" customHeight="1">
      <c r="A187" s="4"/>
      <c r="B187" s="9"/>
      <c r="C187" s="4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5.75" customHeight="1">
      <c r="A188" s="4"/>
      <c r="B188" s="9"/>
      <c r="C188" s="4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5.75" customHeight="1">
      <c r="A189" s="4"/>
      <c r="B189" s="9"/>
      <c r="C189" s="4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5.75" customHeight="1">
      <c r="A190" s="4"/>
      <c r="B190" s="9"/>
      <c r="C190" s="4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5.75" customHeight="1">
      <c r="A191" s="4"/>
      <c r="B191" s="9"/>
      <c r="C191" s="4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5.75" customHeight="1">
      <c r="A192" s="4"/>
      <c r="B192" s="9"/>
      <c r="C192" s="4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5.75" customHeight="1">
      <c r="A193" s="4"/>
      <c r="B193" s="9"/>
      <c r="C193" s="4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5.75" customHeight="1">
      <c r="A194" s="4"/>
      <c r="B194" s="9"/>
      <c r="C194" s="4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5.75" customHeight="1">
      <c r="A195" s="4"/>
      <c r="B195" s="9"/>
      <c r="C195" s="4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5.75" customHeight="1">
      <c r="A196" s="4"/>
      <c r="B196" s="9"/>
      <c r="C196" s="4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5.75" customHeight="1">
      <c r="A197" s="4"/>
      <c r="B197" s="9"/>
      <c r="C197" s="4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5.75" customHeight="1">
      <c r="A198" s="4"/>
      <c r="B198" s="9"/>
      <c r="C198" s="4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5.75" customHeight="1">
      <c r="A199" s="4"/>
      <c r="B199" s="9"/>
      <c r="C199" s="4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5.75" customHeight="1">
      <c r="A200" s="4"/>
      <c r="B200" s="9"/>
      <c r="C200" s="4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5.75" customHeight="1">
      <c r="A201" s="4"/>
      <c r="B201" s="9"/>
      <c r="C201" s="4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5.75" customHeight="1">
      <c r="A202" s="4"/>
      <c r="B202" s="9"/>
      <c r="C202" s="4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5.75" customHeight="1">
      <c r="A203" s="4"/>
      <c r="B203" s="9"/>
      <c r="C203" s="4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5.75" customHeight="1">
      <c r="A204" s="4"/>
      <c r="B204" s="9"/>
      <c r="C204" s="4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5.75" customHeight="1">
      <c r="A205" s="4"/>
      <c r="B205" s="9"/>
      <c r="C205" s="4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5.75" customHeight="1">
      <c r="A206" s="4"/>
      <c r="B206" s="9"/>
      <c r="C206" s="4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5.75" customHeight="1">
      <c r="A207" s="4"/>
      <c r="B207" s="9"/>
      <c r="C207" s="4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5.75" customHeight="1">
      <c r="A208" s="4"/>
      <c r="B208" s="9"/>
      <c r="C208" s="4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5.75" customHeight="1">
      <c r="A209" s="4"/>
      <c r="B209" s="9"/>
      <c r="C209" s="4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5.75" customHeight="1">
      <c r="A210" s="4"/>
      <c r="B210" s="9"/>
      <c r="C210" s="4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5.75" customHeight="1">
      <c r="A211" s="4"/>
      <c r="B211" s="9"/>
      <c r="C211" s="4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5.75" customHeight="1">
      <c r="A212" s="4"/>
      <c r="B212" s="9"/>
      <c r="C212" s="4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5.75" customHeight="1">
      <c r="A213" s="4"/>
      <c r="B213" s="9"/>
      <c r="C213" s="4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5.75" customHeight="1">
      <c r="A214" s="4"/>
      <c r="B214" s="9"/>
      <c r="C214" s="4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5.75" customHeight="1">
      <c r="A215" s="4"/>
      <c r="B215" s="9"/>
      <c r="C215" s="4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5.75" customHeight="1">
      <c r="A216" s="4"/>
      <c r="B216" s="9"/>
      <c r="C216" s="4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5.75" customHeight="1">
      <c r="A217" s="4"/>
      <c r="B217" s="9"/>
      <c r="C217" s="4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5.75" customHeight="1">
      <c r="A218" s="4"/>
      <c r="B218" s="9"/>
      <c r="C218" s="4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5.75" customHeight="1">
      <c r="A219" s="4"/>
      <c r="B219" s="9"/>
      <c r="C219" s="4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5.75" customHeight="1">
      <c r="A220" s="4"/>
      <c r="B220" s="9"/>
      <c r="C220" s="4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</row>
    <row r="222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34.0"/>
    <col customWidth="1" min="2" max="7" width="16.0"/>
    <col customWidth="1" min="8" max="26" width="8.71"/>
  </cols>
  <sheetData>
    <row r="1" ht="17.25" customHeight="1">
      <c r="A1" s="1" t="s">
        <v>35</v>
      </c>
      <c r="B1" s="11"/>
      <c r="C1" s="11"/>
      <c r="D1" s="11"/>
      <c r="E1" s="11"/>
      <c r="F1" s="11"/>
      <c r="G1" s="11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4.75" customHeight="1">
      <c r="A2" s="5" t="s">
        <v>36</v>
      </c>
      <c r="B2" s="11"/>
      <c r="C2" s="11"/>
      <c r="D2" s="11"/>
      <c r="E2" s="11"/>
      <c r="F2" s="11"/>
      <c r="G2" s="11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7.25" customHeight="1">
      <c r="A3" s="6"/>
      <c r="B3" s="12">
        <v>2020.0</v>
      </c>
      <c r="C3" s="12">
        <v>2021.0</v>
      </c>
      <c r="D3" s="12">
        <v>2022.0</v>
      </c>
      <c r="E3" s="12">
        <v>2023.0</v>
      </c>
      <c r="F3" s="12">
        <v>2024.0</v>
      </c>
      <c r="G3" s="12">
        <v>2025.0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7.25" customHeight="1">
      <c r="A4" s="13" t="s">
        <v>37</v>
      </c>
      <c r="B4" s="14">
        <v>20469.0</v>
      </c>
      <c r="C4" s="14">
        <v>23795.0</v>
      </c>
      <c r="D4" s="14">
        <v>28590.0</v>
      </c>
      <c r="E4" s="14">
        <v>28343.0</v>
      </c>
      <c r="F4" s="14">
        <v>27193.0</v>
      </c>
      <c r="G4" s="14">
        <v>25992.1770495612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7.25" customHeight="1">
      <c r="A5" s="13" t="s">
        <v>38</v>
      </c>
      <c r="B5" s="15">
        <v>-0.152</v>
      </c>
      <c r="C5" s="15">
        <f t="shared" ref="C5:G5" si="1">(C4-B4)/B4</f>
        <v>0.1624896184</v>
      </c>
      <c r="D5" s="15">
        <f t="shared" si="1"/>
        <v>0.2015129229</v>
      </c>
      <c r="E5" s="15">
        <f t="shared" si="1"/>
        <v>-0.0086393844</v>
      </c>
      <c r="F5" s="15">
        <f t="shared" si="1"/>
        <v>-0.04057439227</v>
      </c>
      <c r="G5" s="15">
        <f t="shared" si="1"/>
        <v>-0.04415926711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7.25" customHeight="1">
      <c r="A6" s="13" t="s">
        <v>39</v>
      </c>
      <c r="B6" s="14">
        <v>3631.0</v>
      </c>
      <c r="C6" s="14">
        <v>4700.0</v>
      </c>
      <c r="D6" s="14">
        <v>5262.0</v>
      </c>
      <c r="E6" s="14">
        <v>5489.0</v>
      </c>
      <c r="F6" s="14">
        <v>5361.03125847017</v>
      </c>
      <c r="G6" s="14">
        <v>4662.71205215706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7.25" customHeight="1">
      <c r="A7" s="13" t="s">
        <v>40</v>
      </c>
      <c r="B7" s="15">
        <f t="shared" ref="B7:G7" si="2">B6/B4</f>
        <v>0.1773901998</v>
      </c>
      <c r="C7" s="15">
        <f t="shared" si="2"/>
        <v>0.1975204875</v>
      </c>
      <c r="D7" s="15">
        <f t="shared" si="2"/>
        <v>0.1840503673</v>
      </c>
      <c r="E7" s="15">
        <f t="shared" si="2"/>
        <v>0.1936633384</v>
      </c>
      <c r="F7" s="15">
        <f t="shared" si="2"/>
        <v>0.1971474739</v>
      </c>
      <c r="G7" s="15">
        <f t="shared" si="2"/>
        <v>0.179389054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7.25" customHeight="1">
      <c r="A8" s="13" t="s">
        <v>41</v>
      </c>
      <c r="B8" s="14">
        <v>1878.0</v>
      </c>
      <c r="C8" s="14">
        <v>2966.0</v>
      </c>
      <c r="D8" s="14">
        <v>3396.0</v>
      </c>
      <c r="E8" s="14">
        <v>3572.0</v>
      </c>
      <c r="F8" s="14">
        <v>3378.0</v>
      </c>
      <c r="G8" s="14">
        <v>2719.218638651149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7.25" customHeight="1">
      <c r="A9" s="13" t="s">
        <v>42</v>
      </c>
      <c r="B9" s="16">
        <f t="shared" ref="B9:G9" si="3">B8/B4</f>
        <v>0.09174849773</v>
      </c>
      <c r="C9" s="16">
        <f t="shared" si="3"/>
        <v>0.1246480353</v>
      </c>
      <c r="D9" s="16">
        <f t="shared" si="3"/>
        <v>0.1187827912</v>
      </c>
      <c r="E9" s="16">
        <f t="shared" si="3"/>
        <v>0.1260275906</v>
      </c>
      <c r="F9" s="16">
        <f t="shared" si="3"/>
        <v>0.1242231457</v>
      </c>
      <c r="G9" s="16">
        <f t="shared" si="3"/>
        <v>0.1046168096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7.25" customHeight="1">
      <c r="A10" s="13" t="s">
        <v>43</v>
      </c>
      <c r="B10" s="14">
        <v>1403.0</v>
      </c>
      <c r="C10" s="14">
        <v>2777.0</v>
      </c>
      <c r="D10" s="14">
        <v>3021.0</v>
      </c>
      <c r="E10" s="14">
        <v>2652.0</v>
      </c>
      <c r="F10" s="14">
        <v>2631.0</v>
      </c>
      <c r="G10" s="14">
        <v>2366.12937876237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7.25" customHeight="1">
      <c r="A11" s="13" t="s">
        <v>44</v>
      </c>
      <c r="B11" s="14">
        <v>625.0</v>
      </c>
      <c r="C11" s="14">
        <v>1845.0</v>
      </c>
      <c r="D11" s="14">
        <v>2009.0</v>
      </c>
      <c r="E11" s="14">
        <v>1983.0</v>
      </c>
      <c r="F11" s="14">
        <v>1890.0</v>
      </c>
      <c r="G11" s="14">
        <v>1663.96797692861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7.25" customHeight="1">
      <c r="A12" s="13" t="s">
        <v>45</v>
      </c>
      <c r="B12" s="15">
        <f t="shared" ref="B12:G12" si="4">B11/B4</f>
        <v>0.03053397821</v>
      </c>
      <c r="C12" s="15">
        <f t="shared" si="4"/>
        <v>0.07753729775</v>
      </c>
      <c r="D12" s="15">
        <f t="shared" si="4"/>
        <v>0.07026932494</v>
      </c>
      <c r="E12" s="15">
        <f t="shared" si="4"/>
        <v>0.0699643651</v>
      </c>
      <c r="F12" s="15">
        <f t="shared" si="4"/>
        <v>0.06950318097</v>
      </c>
      <c r="G12" s="15">
        <f t="shared" si="4"/>
        <v>0.06401803026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7.25" customHeight="1">
      <c r="A13" s="13" t="s">
        <v>46</v>
      </c>
      <c r="B13" s="14">
        <v>3366.0</v>
      </c>
      <c r="C13" s="14">
        <v>2906.0</v>
      </c>
      <c r="D13" s="14">
        <v>1931.0</v>
      </c>
      <c r="E13" s="14">
        <v>5287.0</v>
      </c>
      <c r="F13" s="14">
        <v>4336.0</v>
      </c>
      <c r="G13" s="14">
        <v>3819.414178391924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7.25" customHeight="1">
      <c r="A14" s="13" t="s">
        <v>47</v>
      </c>
      <c r="B14" s="14">
        <v>1221.0</v>
      </c>
      <c r="C14" s="14">
        <v>1705.0</v>
      </c>
      <c r="D14" s="14">
        <v>2141.0</v>
      </c>
      <c r="E14" s="14">
        <v>2236.0</v>
      </c>
      <c r="F14" s="14">
        <v>2182.0</v>
      </c>
      <c r="G14" s="14">
        <v>1967.0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7.25" customHeight="1">
      <c r="A15" s="13" t="s">
        <v>48</v>
      </c>
      <c r="B15" s="15">
        <f t="shared" ref="B15:G15" si="5">B14/B4</f>
        <v>0.05965117983</v>
      </c>
      <c r="C15" s="15">
        <f t="shared" si="5"/>
        <v>0.07165370876</v>
      </c>
      <c r="D15" s="15">
        <f t="shared" si="5"/>
        <v>0.07488632389</v>
      </c>
      <c r="E15" s="15">
        <f t="shared" si="5"/>
        <v>0.0788907314</v>
      </c>
      <c r="F15" s="15">
        <f t="shared" si="5"/>
        <v>0.08024123855</v>
      </c>
      <c r="G15" s="15">
        <f t="shared" si="5"/>
        <v>0.07567661594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7.25" customHeight="1">
      <c r="A16" s="13" t="s">
        <v>49</v>
      </c>
      <c r="B16" s="14">
        <v>2004.0</v>
      </c>
      <c r="C16" s="14">
        <v>1357.0</v>
      </c>
      <c r="D16" s="14">
        <v>-180.3</v>
      </c>
      <c r="E16" s="14">
        <v>2342.8</v>
      </c>
      <c r="F16" s="14">
        <v>2225.4</v>
      </c>
      <c r="G16" s="14">
        <v>2181.0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7.25" customHeight="1">
      <c r="A17" s="13" t="s">
        <v>50</v>
      </c>
      <c r="B17" s="15">
        <f t="shared" ref="B17:G17" si="6">B16/B4</f>
        <v>0.09790414774</v>
      </c>
      <c r="C17" s="15">
        <f t="shared" si="6"/>
        <v>0.05702878756</v>
      </c>
      <c r="D17" s="15">
        <f t="shared" si="6"/>
        <v>-0.006306400839</v>
      </c>
      <c r="E17" s="15">
        <f t="shared" si="6"/>
        <v>0.08265885757</v>
      </c>
      <c r="F17" s="15">
        <f t="shared" si="6"/>
        <v>0.08183723752</v>
      </c>
      <c r="G17" s="15">
        <f t="shared" si="6"/>
        <v>0.08390986241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7.25" customHeight="1">
      <c r="A18" s="13" t="s">
        <v>51</v>
      </c>
      <c r="B18" s="14">
        <v>3531.0</v>
      </c>
      <c r="C18" s="14">
        <v>2789.0</v>
      </c>
      <c r="D18" s="14">
        <v>4320.0</v>
      </c>
      <c r="E18" s="14">
        <v>3280.8</v>
      </c>
      <c r="F18" s="14">
        <v>3112.0</v>
      </c>
      <c r="G18" s="14">
        <v>2345.0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7.25" customHeight="1">
      <c r="A19" s="13" t="s">
        <v>52</v>
      </c>
      <c r="B19" s="17">
        <f t="shared" ref="B19:G19" si="7">B18/B6</f>
        <v>0.9724593776</v>
      </c>
      <c r="C19" s="17">
        <f t="shared" si="7"/>
        <v>0.5934042553</v>
      </c>
      <c r="D19" s="17">
        <f t="shared" si="7"/>
        <v>0.8209806157</v>
      </c>
      <c r="E19" s="17">
        <f t="shared" si="7"/>
        <v>0.5977044999</v>
      </c>
      <c r="F19" s="17">
        <f t="shared" si="7"/>
        <v>0.5804853301</v>
      </c>
      <c r="G19" s="17">
        <f t="shared" si="7"/>
        <v>0.5029261884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18"/>
      <c r="C20" s="18"/>
      <c r="D20" s="18"/>
      <c r="E20" s="18"/>
      <c r="F20" s="18"/>
      <c r="G20" s="18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5.75" customHeight="1">
      <c r="A21" s="4"/>
      <c r="B21" s="18"/>
      <c r="C21" s="18"/>
      <c r="D21" s="18"/>
      <c r="E21" s="18"/>
      <c r="F21" s="18"/>
      <c r="G21" s="18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5.75" customHeight="1">
      <c r="A22" s="4"/>
      <c r="B22" s="18"/>
      <c r="C22" s="18"/>
      <c r="D22" s="18"/>
      <c r="E22" s="18"/>
      <c r="F22" s="18"/>
      <c r="G22" s="18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5.75" customHeight="1">
      <c r="A23" s="4"/>
      <c r="B23" s="18"/>
      <c r="C23" s="18"/>
      <c r="D23" s="18"/>
      <c r="E23" s="18"/>
      <c r="F23" s="18"/>
      <c r="G23" s="18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5.75" customHeight="1">
      <c r="A24" s="4"/>
      <c r="B24" s="18"/>
      <c r="C24" s="18"/>
      <c r="D24" s="18"/>
      <c r="E24" s="18"/>
      <c r="F24" s="18"/>
      <c r="G24" s="18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5.75" customHeight="1">
      <c r="A25" s="4"/>
      <c r="B25" s="18"/>
      <c r="C25" s="18"/>
      <c r="D25" s="18"/>
      <c r="E25" s="18"/>
      <c r="F25" s="18"/>
      <c r="G25" s="18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5.75" customHeight="1">
      <c r="A26" s="4"/>
      <c r="B26" s="18"/>
      <c r="C26" s="18"/>
      <c r="D26" s="18"/>
      <c r="E26" s="18"/>
      <c r="F26" s="18"/>
      <c r="G26" s="18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5.75" customHeight="1">
      <c r="A27" s="4"/>
      <c r="B27" s="18"/>
      <c r="C27" s="18"/>
      <c r="D27" s="18"/>
      <c r="E27" s="18"/>
      <c r="F27" s="18"/>
      <c r="G27" s="18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5.75" customHeight="1">
      <c r="A28" s="4"/>
      <c r="B28" s="18"/>
      <c r="C28" s="18"/>
      <c r="D28" s="18"/>
      <c r="E28" s="18"/>
      <c r="F28" s="18"/>
      <c r="G28" s="18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5.75" customHeight="1">
      <c r="A29" s="4"/>
      <c r="B29" s="18"/>
      <c r="C29" s="18"/>
      <c r="D29" s="18"/>
      <c r="E29" s="18"/>
      <c r="F29" s="18"/>
      <c r="G29" s="18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5.75" customHeight="1">
      <c r="A30" s="4"/>
      <c r="B30" s="18"/>
      <c r="C30" s="18"/>
      <c r="D30" s="18"/>
      <c r="E30" s="18"/>
      <c r="F30" s="18"/>
      <c r="G30" s="18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5.75" customHeight="1">
      <c r="A31" s="4"/>
      <c r="B31" s="18"/>
      <c r="C31" s="18"/>
      <c r="D31" s="18"/>
      <c r="E31" s="18"/>
      <c r="F31" s="18"/>
      <c r="G31" s="18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5.75" customHeight="1">
      <c r="A32" s="4"/>
      <c r="B32" s="18"/>
      <c r="C32" s="18"/>
      <c r="D32" s="18"/>
      <c r="E32" s="18"/>
      <c r="F32" s="18"/>
      <c r="G32" s="18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5.75" customHeight="1">
      <c r="A33" s="4"/>
      <c r="B33" s="18"/>
      <c r="C33" s="18"/>
      <c r="D33" s="18"/>
      <c r="E33" s="18"/>
      <c r="F33" s="18"/>
      <c r="G33" s="18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5.75" customHeight="1">
      <c r="A34" s="4"/>
      <c r="B34" s="18"/>
      <c r="C34" s="18"/>
      <c r="D34" s="18"/>
      <c r="E34" s="18"/>
      <c r="F34" s="18"/>
      <c r="G34" s="18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5.75" customHeight="1">
      <c r="A35" s="4"/>
      <c r="B35" s="18"/>
      <c r="C35" s="18"/>
      <c r="D35" s="18"/>
      <c r="E35" s="18"/>
      <c r="F35" s="18"/>
      <c r="G35" s="18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5.75" customHeight="1">
      <c r="A36" s="4"/>
      <c r="B36" s="18"/>
      <c r="C36" s="18"/>
      <c r="D36" s="18"/>
      <c r="E36" s="18"/>
      <c r="F36" s="18"/>
      <c r="G36" s="18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5.75" customHeight="1">
      <c r="A37" s="4"/>
      <c r="B37" s="18"/>
      <c r="C37" s="18"/>
      <c r="D37" s="18"/>
      <c r="E37" s="18"/>
      <c r="F37" s="18"/>
      <c r="G37" s="18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5.75" customHeight="1">
      <c r="A38" s="4"/>
      <c r="B38" s="18"/>
      <c r="C38" s="18"/>
      <c r="D38" s="18"/>
      <c r="E38" s="18"/>
      <c r="F38" s="18"/>
      <c r="G38" s="18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5.75" customHeight="1">
      <c r="A39" s="4"/>
      <c r="B39" s="18"/>
      <c r="C39" s="18"/>
      <c r="D39" s="18"/>
      <c r="E39" s="18"/>
      <c r="F39" s="18"/>
      <c r="G39" s="18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5.75" customHeight="1">
      <c r="A40" s="4"/>
      <c r="B40" s="18"/>
      <c r="C40" s="18"/>
      <c r="D40" s="18"/>
      <c r="E40" s="18"/>
      <c r="F40" s="18"/>
      <c r="G40" s="18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5.75" customHeight="1">
      <c r="A41" s="4"/>
      <c r="B41" s="18"/>
      <c r="C41" s="18"/>
      <c r="D41" s="18"/>
      <c r="E41" s="18"/>
      <c r="F41" s="18"/>
      <c r="G41" s="18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5.75" customHeight="1">
      <c r="A42" s="4"/>
      <c r="B42" s="18"/>
      <c r="C42" s="18"/>
      <c r="D42" s="18"/>
      <c r="E42" s="18"/>
      <c r="F42" s="18"/>
      <c r="G42" s="18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5.75" customHeight="1">
      <c r="A43" s="4"/>
      <c r="B43" s="18"/>
      <c r="C43" s="18"/>
      <c r="D43" s="18"/>
      <c r="E43" s="18"/>
      <c r="F43" s="18"/>
      <c r="G43" s="18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5.75" customHeight="1">
      <c r="A44" s="4"/>
      <c r="B44" s="18"/>
      <c r="C44" s="18"/>
      <c r="D44" s="18"/>
      <c r="E44" s="18"/>
      <c r="F44" s="18"/>
      <c r="G44" s="18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5.75" customHeight="1">
      <c r="A45" s="4"/>
      <c r="B45" s="18"/>
      <c r="C45" s="18"/>
      <c r="D45" s="18"/>
      <c r="E45" s="18"/>
      <c r="F45" s="18"/>
      <c r="G45" s="18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5.75" customHeight="1">
      <c r="A46" s="4"/>
      <c r="B46" s="18"/>
      <c r="C46" s="18"/>
      <c r="D46" s="18"/>
      <c r="E46" s="18"/>
      <c r="F46" s="18"/>
      <c r="G46" s="18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5.75" customHeight="1">
      <c r="A47" s="4"/>
      <c r="B47" s="18"/>
      <c r="C47" s="18"/>
      <c r="D47" s="18"/>
      <c r="E47" s="18"/>
      <c r="F47" s="18"/>
      <c r="G47" s="18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5.75" customHeight="1">
      <c r="A48" s="4"/>
      <c r="B48" s="18"/>
      <c r="C48" s="18"/>
      <c r="D48" s="18"/>
      <c r="E48" s="18"/>
      <c r="F48" s="18"/>
      <c r="G48" s="18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5.75" customHeight="1">
      <c r="A49" s="4"/>
      <c r="B49" s="18"/>
      <c r="C49" s="18"/>
      <c r="D49" s="18"/>
      <c r="E49" s="18"/>
      <c r="F49" s="18"/>
      <c r="G49" s="18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5.75" customHeight="1">
      <c r="A50" s="4"/>
      <c r="B50" s="18"/>
      <c r="C50" s="18"/>
      <c r="D50" s="18"/>
      <c r="E50" s="18"/>
      <c r="F50" s="18"/>
      <c r="G50" s="18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5.75" customHeight="1">
      <c r="A51" s="4"/>
      <c r="B51" s="18"/>
      <c r="C51" s="18"/>
      <c r="D51" s="18"/>
      <c r="E51" s="18"/>
      <c r="F51" s="18"/>
      <c r="G51" s="18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5.75" customHeight="1">
      <c r="A52" s="4"/>
      <c r="B52" s="18"/>
      <c r="C52" s="18"/>
      <c r="D52" s="18"/>
      <c r="E52" s="18"/>
      <c r="F52" s="18"/>
      <c r="G52" s="18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5.75" customHeight="1">
      <c r="A53" s="4"/>
      <c r="B53" s="18"/>
      <c r="C53" s="18"/>
      <c r="D53" s="18"/>
      <c r="E53" s="18"/>
      <c r="F53" s="18"/>
      <c r="G53" s="18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5.75" customHeight="1">
      <c r="A54" s="4"/>
      <c r="B54" s="18"/>
      <c r="C54" s="18"/>
      <c r="D54" s="18"/>
      <c r="E54" s="18"/>
      <c r="F54" s="18"/>
      <c r="G54" s="18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5.75" customHeight="1">
      <c r="A55" s="4"/>
      <c r="B55" s="18"/>
      <c r="C55" s="18"/>
      <c r="D55" s="18"/>
      <c r="E55" s="18"/>
      <c r="F55" s="18"/>
      <c r="G55" s="18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5.75" customHeight="1">
      <c r="A56" s="4"/>
      <c r="B56" s="18"/>
      <c r="C56" s="18"/>
      <c r="D56" s="18"/>
      <c r="E56" s="18"/>
      <c r="F56" s="18"/>
      <c r="G56" s="18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5.75" customHeight="1">
      <c r="A57" s="4"/>
      <c r="B57" s="18"/>
      <c r="C57" s="18"/>
      <c r="D57" s="18"/>
      <c r="E57" s="18"/>
      <c r="F57" s="18"/>
      <c r="G57" s="18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5.75" customHeight="1">
      <c r="A58" s="4"/>
      <c r="B58" s="18"/>
      <c r="C58" s="18"/>
      <c r="D58" s="18"/>
      <c r="E58" s="18"/>
      <c r="F58" s="18"/>
      <c r="G58" s="18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5.75" customHeight="1">
      <c r="A59" s="4"/>
      <c r="B59" s="18"/>
      <c r="C59" s="18"/>
      <c r="D59" s="18"/>
      <c r="E59" s="18"/>
      <c r="F59" s="18"/>
      <c r="G59" s="18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5.75" customHeight="1">
      <c r="A60" s="4"/>
      <c r="B60" s="18"/>
      <c r="C60" s="18"/>
      <c r="D60" s="18"/>
      <c r="E60" s="18"/>
      <c r="F60" s="18"/>
      <c r="G60" s="18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5.75" customHeight="1">
      <c r="A61" s="4"/>
      <c r="B61" s="18"/>
      <c r="C61" s="18"/>
      <c r="D61" s="18"/>
      <c r="E61" s="18"/>
      <c r="F61" s="18"/>
      <c r="G61" s="18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5.75" customHeight="1">
      <c r="A62" s="4"/>
      <c r="B62" s="18"/>
      <c r="C62" s="18"/>
      <c r="D62" s="18"/>
      <c r="E62" s="18"/>
      <c r="F62" s="18"/>
      <c r="G62" s="18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5.75" customHeight="1">
      <c r="A63" s="4"/>
      <c r="B63" s="18"/>
      <c r="C63" s="18"/>
      <c r="D63" s="18"/>
      <c r="E63" s="18"/>
      <c r="F63" s="18"/>
      <c r="G63" s="18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5.75" customHeight="1">
      <c r="A64" s="4"/>
      <c r="B64" s="18"/>
      <c r="C64" s="18"/>
      <c r="D64" s="18"/>
      <c r="E64" s="18"/>
      <c r="F64" s="18"/>
      <c r="G64" s="18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5.75" customHeight="1">
      <c r="A65" s="4"/>
      <c r="B65" s="18"/>
      <c r="C65" s="18"/>
      <c r="D65" s="18"/>
      <c r="E65" s="18"/>
      <c r="F65" s="18"/>
      <c r="G65" s="18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5.75" customHeight="1">
      <c r="A66" s="4"/>
      <c r="B66" s="18"/>
      <c r="C66" s="18"/>
      <c r="D66" s="18"/>
      <c r="E66" s="18"/>
      <c r="F66" s="18"/>
      <c r="G66" s="18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5.75" customHeight="1">
      <c r="A67" s="4"/>
      <c r="B67" s="18"/>
      <c r="C67" s="18"/>
      <c r="D67" s="18"/>
      <c r="E67" s="18"/>
      <c r="F67" s="18"/>
      <c r="G67" s="18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5.75" customHeight="1">
      <c r="A68" s="4"/>
      <c r="B68" s="18"/>
      <c r="C68" s="18"/>
      <c r="D68" s="18"/>
      <c r="E68" s="18"/>
      <c r="F68" s="18"/>
      <c r="G68" s="18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5.75" customHeight="1">
      <c r="A69" s="4"/>
      <c r="B69" s="18"/>
      <c r="C69" s="18"/>
      <c r="D69" s="18"/>
      <c r="E69" s="18"/>
      <c r="F69" s="18"/>
      <c r="G69" s="18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5.75" customHeight="1">
      <c r="A70" s="4"/>
      <c r="B70" s="18"/>
      <c r="C70" s="18"/>
      <c r="D70" s="18"/>
      <c r="E70" s="18"/>
      <c r="F70" s="18"/>
      <c r="G70" s="18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5.75" customHeight="1">
      <c r="A71" s="4"/>
      <c r="B71" s="18"/>
      <c r="C71" s="18"/>
      <c r="D71" s="18"/>
      <c r="E71" s="18"/>
      <c r="F71" s="18"/>
      <c r="G71" s="18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5.75" customHeight="1">
      <c r="A72" s="4"/>
      <c r="B72" s="18"/>
      <c r="C72" s="18"/>
      <c r="D72" s="18"/>
      <c r="E72" s="18"/>
      <c r="F72" s="18"/>
      <c r="G72" s="18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5.75" customHeight="1">
      <c r="A73" s="4"/>
      <c r="B73" s="18"/>
      <c r="C73" s="18"/>
      <c r="D73" s="18"/>
      <c r="E73" s="18"/>
      <c r="F73" s="18"/>
      <c r="G73" s="18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5.75" customHeight="1">
      <c r="A74" s="4"/>
      <c r="B74" s="18"/>
      <c r="C74" s="18"/>
      <c r="D74" s="18"/>
      <c r="E74" s="18"/>
      <c r="F74" s="18"/>
      <c r="G74" s="18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5.75" customHeight="1">
      <c r="A75" s="4"/>
      <c r="B75" s="18"/>
      <c r="C75" s="18"/>
      <c r="D75" s="18"/>
      <c r="E75" s="18"/>
      <c r="F75" s="18"/>
      <c r="G75" s="18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5.75" customHeight="1">
      <c r="A76" s="4"/>
      <c r="B76" s="18"/>
      <c r="C76" s="18"/>
      <c r="D76" s="18"/>
      <c r="E76" s="18"/>
      <c r="F76" s="18"/>
      <c r="G76" s="18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5.75" customHeight="1">
      <c r="A77" s="4"/>
      <c r="B77" s="18"/>
      <c r="C77" s="18"/>
      <c r="D77" s="18"/>
      <c r="E77" s="18"/>
      <c r="F77" s="18"/>
      <c r="G77" s="18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5.75" customHeight="1">
      <c r="A78" s="4"/>
      <c r="B78" s="18"/>
      <c r="C78" s="18"/>
      <c r="D78" s="18"/>
      <c r="E78" s="18"/>
      <c r="F78" s="18"/>
      <c r="G78" s="18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5.75" customHeight="1">
      <c r="A79" s="4"/>
      <c r="B79" s="18"/>
      <c r="C79" s="18"/>
      <c r="D79" s="18"/>
      <c r="E79" s="18"/>
      <c r="F79" s="18"/>
      <c r="G79" s="18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5.75" customHeight="1">
      <c r="A80" s="4"/>
      <c r="B80" s="18"/>
      <c r="C80" s="18"/>
      <c r="D80" s="18"/>
      <c r="E80" s="18"/>
      <c r="F80" s="18"/>
      <c r="G80" s="18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5.75" customHeight="1">
      <c r="A81" s="4"/>
      <c r="B81" s="18"/>
      <c r="C81" s="18"/>
      <c r="D81" s="18"/>
      <c r="E81" s="18"/>
      <c r="F81" s="18"/>
      <c r="G81" s="18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5.75" customHeight="1">
      <c r="A82" s="4"/>
      <c r="B82" s="18"/>
      <c r="C82" s="18"/>
      <c r="D82" s="18"/>
      <c r="E82" s="18"/>
      <c r="F82" s="18"/>
      <c r="G82" s="18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5.75" customHeight="1">
      <c r="A83" s="4"/>
      <c r="B83" s="18"/>
      <c r="C83" s="18"/>
      <c r="D83" s="18"/>
      <c r="E83" s="18"/>
      <c r="F83" s="18"/>
      <c r="G83" s="18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5.75" customHeight="1">
      <c r="A84" s="4"/>
      <c r="B84" s="18"/>
      <c r="C84" s="18"/>
      <c r="D84" s="18"/>
      <c r="E84" s="18"/>
      <c r="F84" s="18"/>
      <c r="G84" s="18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5.75" customHeight="1">
      <c r="A85" s="4"/>
      <c r="B85" s="18"/>
      <c r="C85" s="18"/>
      <c r="D85" s="18"/>
      <c r="E85" s="18"/>
      <c r="F85" s="18"/>
      <c r="G85" s="18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5.75" customHeight="1">
      <c r="A86" s="4"/>
      <c r="B86" s="18"/>
      <c r="C86" s="18"/>
      <c r="D86" s="18"/>
      <c r="E86" s="18"/>
      <c r="F86" s="18"/>
      <c r="G86" s="18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5.75" customHeight="1">
      <c r="A87" s="4"/>
      <c r="B87" s="18"/>
      <c r="C87" s="18"/>
      <c r="D87" s="18"/>
      <c r="E87" s="18"/>
      <c r="F87" s="18"/>
      <c r="G87" s="18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5.75" customHeight="1">
      <c r="A88" s="4"/>
      <c r="B88" s="18"/>
      <c r="C88" s="18"/>
      <c r="D88" s="18"/>
      <c r="E88" s="18"/>
      <c r="F88" s="18"/>
      <c r="G88" s="18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5.75" customHeight="1">
      <c r="A89" s="4"/>
      <c r="B89" s="18"/>
      <c r="C89" s="18"/>
      <c r="D89" s="18"/>
      <c r="E89" s="18"/>
      <c r="F89" s="18"/>
      <c r="G89" s="18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5.75" customHeight="1">
      <c r="A90" s="4"/>
      <c r="B90" s="18"/>
      <c r="C90" s="18"/>
      <c r="D90" s="18"/>
      <c r="E90" s="18"/>
      <c r="F90" s="18"/>
      <c r="G90" s="18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5.75" customHeight="1">
      <c r="A91" s="4"/>
      <c r="B91" s="18"/>
      <c r="C91" s="18"/>
      <c r="D91" s="18"/>
      <c r="E91" s="18"/>
      <c r="F91" s="18"/>
      <c r="G91" s="18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5.75" customHeight="1">
      <c r="A92" s="4"/>
      <c r="B92" s="18"/>
      <c r="C92" s="18"/>
      <c r="D92" s="18"/>
      <c r="E92" s="18"/>
      <c r="F92" s="18"/>
      <c r="G92" s="18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5.75" customHeight="1">
      <c r="A93" s="4"/>
      <c r="B93" s="18"/>
      <c r="C93" s="18"/>
      <c r="D93" s="18"/>
      <c r="E93" s="18"/>
      <c r="F93" s="18"/>
      <c r="G93" s="18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5.75" customHeight="1">
      <c r="A94" s="4"/>
      <c r="B94" s="18"/>
      <c r="C94" s="18"/>
      <c r="D94" s="18"/>
      <c r="E94" s="18"/>
      <c r="F94" s="18"/>
      <c r="G94" s="18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5.75" customHeight="1">
      <c r="A95" s="4"/>
      <c r="B95" s="18"/>
      <c r="C95" s="18"/>
      <c r="D95" s="18"/>
      <c r="E95" s="18"/>
      <c r="F95" s="18"/>
      <c r="G95" s="18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5.75" customHeight="1">
      <c r="A96" s="4"/>
      <c r="B96" s="18"/>
      <c r="C96" s="18"/>
      <c r="D96" s="18"/>
      <c r="E96" s="18"/>
      <c r="F96" s="18"/>
      <c r="G96" s="18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5.75" customHeight="1">
      <c r="A97" s="4"/>
      <c r="B97" s="18"/>
      <c r="C97" s="18"/>
      <c r="D97" s="18"/>
      <c r="E97" s="18"/>
      <c r="F97" s="18"/>
      <c r="G97" s="18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5.75" customHeight="1">
      <c r="A98" s="4"/>
      <c r="B98" s="18"/>
      <c r="C98" s="18"/>
      <c r="D98" s="18"/>
      <c r="E98" s="18"/>
      <c r="F98" s="18"/>
      <c r="G98" s="18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5.75" customHeight="1">
      <c r="A99" s="4"/>
      <c r="B99" s="18"/>
      <c r="C99" s="18"/>
      <c r="D99" s="18"/>
      <c r="E99" s="18"/>
      <c r="F99" s="18"/>
      <c r="G99" s="18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5.75" customHeight="1">
      <c r="A100" s="4"/>
      <c r="B100" s="18"/>
      <c r="C100" s="18"/>
      <c r="D100" s="18"/>
      <c r="E100" s="18"/>
      <c r="F100" s="18"/>
      <c r="G100" s="18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5.75" customHeight="1">
      <c r="A101" s="4"/>
      <c r="B101" s="18"/>
      <c r="C101" s="18"/>
      <c r="D101" s="18"/>
      <c r="E101" s="18"/>
      <c r="F101" s="18"/>
      <c r="G101" s="18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5.75" customHeight="1">
      <c r="A102" s="4"/>
      <c r="B102" s="18"/>
      <c r="C102" s="18"/>
      <c r="D102" s="18"/>
      <c r="E102" s="18"/>
      <c r="F102" s="18"/>
      <c r="G102" s="18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5.75" customHeight="1">
      <c r="A103" s="4"/>
      <c r="B103" s="18"/>
      <c r="C103" s="18"/>
      <c r="D103" s="18"/>
      <c r="E103" s="18"/>
      <c r="F103" s="18"/>
      <c r="G103" s="18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5.75" customHeight="1">
      <c r="A104" s="4"/>
      <c r="B104" s="18"/>
      <c r="C104" s="18"/>
      <c r="D104" s="18"/>
      <c r="E104" s="18"/>
      <c r="F104" s="18"/>
      <c r="G104" s="18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5.75" customHeight="1">
      <c r="A105" s="4"/>
      <c r="B105" s="18"/>
      <c r="C105" s="18"/>
      <c r="D105" s="18"/>
      <c r="E105" s="18"/>
      <c r="F105" s="18"/>
      <c r="G105" s="18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5.75" customHeight="1">
      <c r="A106" s="4"/>
      <c r="B106" s="18"/>
      <c r="C106" s="18"/>
      <c r="D106" s="18"/>
      <c r="E106" s="18"/>
      <c r="F106" s="18"/>
      <c r="G106" s="18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5.75" customHeight="1">
      <c r="A107" s="4"/>
      <c r="B107" s="18"/>
      <c r="C107" s="18"/>
      <c r="D107" s="18"/>
      <c r="E107" s="18"/>
      <c r="F107" s="18"/>
      <c r="G107" s="18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5.75" customHeight="1">
      <c r="A108" s="4"/>
      <c r="B108" s="18"/>
      <c r="C108" s="18"/>
      <c r="D108" s="18"/>
      <c r="E108" s="18"/>
      <c r="F108" s="18"/>
      <c r="G108" s="18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5.75" customHeight="1">
      <c r="A109" s="4"/>
      <c r="B109" s="18"/>
      <c r="C109" s="18"/>
      <c r="D109" s="18"/>
      <c r="E109" s="18"/>
      <c r="F109" s="18"/>
      <c r="G109" s="18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5.75" customHeight="1">
      <c r="A110" s="4"/>
      <c r="B110" s="18"/>
      <c r="C110" s="18"/>
      <c r="D110" s="18"/>
      <c r="E110" s="18"/>
      <c r="F110" s="18"/>
      <c r="G110" s="18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5.75" customHeight="1">
      <c r="A111" s="4"/>
      <c r="B111" s="18"/>
      <c r="C111" s="18"/>
      <c r="D111" s="18"/>
      <c r="E111" s="18"/>
      <c r="F111" s="18"/>
      <c r="G111" s="18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5.75" customHeight="1">
      <c r="A112" s="4"/>
      <c r="B112" s="18"/>
      <c r="C112" s="18"/>
      <c r="D112" s="18"/>
      <c r="E112" s="18"/>
      <c r="F112" s="18"/>
      <c r="G112" s="18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5.75" customHeight="1">
      <c r="A113" s="4"/>
      <c r="B113" s="18"/>
      <c r="C113" s="18"/>
      <c r="D113" s="18"/>
      <c r="E113" s="18"/>
      <c r="F113" s="18"/>
      <c r="G113" s="18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5.75" customHeight="1">
      <c r="A114" s="4"/>
      <c r="B114" s="18"/>
      <c r="C114" s="18"/>
      <c r="D114" s="18"/>
      <c r="E114" s="18"/>
      <c r="F114" s="18"/>
      <c r="G114" s="18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5.75" customHeight="1">
      <c r="A115" s="4"/>
      <c r="B115" s="18"/>
      <c r="C115" s="18"/>
      <c r="D115" s="18"/>
      <c r="E115" s="18"/>
      <c r="F115" s="18"/>
      <c r="G115" s="18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5.75" customHeight="1">
      <c r="A116" s="4"/>
      <c r="B116" s="18"/>
      <c r="C116" s="18"/>
      <c r="D116" s="18"/>
      <c r="E116" s="18"/>
      <c r="F116" s="18"/>
      <c r="G116" s="18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5.75" customHeight="1">
      <c r="A117" s="4"/>
      <c r="B117" s="18"/>
      <c r="C117" s="18"/>
      <c r="D117" s="18"/>
      <c r="E117" s="18"/>
      <c r="F117" s="18"/>
      <c r="G117" s="18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5.75" customHeight="1">
      <c r="A118" s="4"/>
      <c r="B118" s="18"/>
      <c r="C118" s="18"/>
      <c r="D118" s="18"/>
      <c r="E118" s="18"/>
      <c r="F118" s="18"/>
      <c r="G118" s="18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5.75" customHeight="1">
      <c r="A119" s="4"/>
      <c r="B119" s="18"/>
      <c r="C119" s="18"/>
      <c r="D119" s="18"/>
      <c r="E119" s="18"/>
      <c r="F119" s="18"/>
      <c r="G119" s="18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5.75" customHeight="1">
      <c r="A120" s="4"/>
      <c r="B120" s="18"/>
      <c r="C120" s="18"/>
      <c r="D120" s="18"/>
      <c r="E120" s="18"/>
      <c r="F120" s="18"/>
      <c r="G120" s="18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5.75" customHeight="1">
      <c r="A121" s="4"/>
      <c r="B121" s="18"/>
      <c r="C121" s="18"/>
      <c r="D121" s="18"/>
      <c r="E121" s="18"/>
      <c r="F121" s="18"/>
      <c r="G121" s="18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5.75" customHeight="1">
      <c r="A122" s="4"/>
      <c r="B122" s="18"/>
      <c r="C122" s="18"/>
      <c r="D122" s="18"/>
      <c r="E122" s="18"/>
      <c r="F122" s="18"/>
      <c r="G122" s="18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5.75" customHeight="1">
      <c r="A123" s="4"/>
      <c r="B123" s="18"/>
      <c r="C123" s="18"/>
      <c r="D123" s="18"/>
      <c r="E123" s="18"/>
      <c r="F123" s="18"/>
      <c r="G123" s="18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5.75" customHeight="1">
      <c r="A124" s="4"/>
      <c r="B124" s="18"/>
      <c r="C124" s="18"/>
      <c r="D124" s="18"/>
      <c r="E124" s="18"/>
      <c r="F124" s="18"/>
      <c r="G124" s="18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5.75" customHeight="1">
      <c r="A125" s="4"/>
      <c r="B125" s="18"/>
      <c r="C125" s="18"/>
      <c r="D125" s="18"/>
      <c r="E125" s="18"/>
      <c r="F125" s="18"/>
      <c r="G125" s="18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5.75" customHeight="1">
      <c r="A126" s="4"/>
      <c r="B126" s="18"/>
      <c r="C126" s="18"/>
      <c r="D126" s="18"/>
      <c r="E126" s="18"/>
      <c r="F126" s="18"/>
      <c r="G126" s="18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5.75" customHeight="1">
      <c r="A127" s="4"/>
      <c r="B127" s="18"/>
      <c r="C127" s="18"/>
      <c r="D127" s="18"/>
      <c r="E127" s="18"/>
      <c r="F127" s="18"/>
      <c r="G127" s="18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5.75" customHeight="1">
      <c r="A128" s="4"/>
      <c r="B128" s="18"/>
      <c r="C128" s="18"/>
      <c r="D128" s="18"/>
      <c r="E128" s="18"/>
      <c r="F128" s="18"/>
      <c r="G128" s="18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5.75" customHeight="1">
      <c r="A129" s="4"/>
      <c r="B129" s="18"/>
      <c r="C129" s="18"/>
      <c r="D129" s="18"/>
      <c r="E129" s="18"/>
      <c r="F129" s="18"/>
      <c r="G129" s="18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5.75" customHeight="1">
      <c r="A130" s="4"/>
      <c r="B130" s="18"/>
      <c r="C130" s="18"/>
      <c r="D130" s="18"/>
      <c r="E130" s="18"/>
      <c r="F130" s="18"/>
      <c r="G130" s="18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5.75" customHeight="1">
      <c r="A131" s="4"/>
      <c r="B131" s="18"/>
      <c r="C131" s="18"/>
      <c r="D131" s="18"/>
      <c r="E131" s="18"/>
      <c r="F131" s="18"/>
      <c r="G131" s="18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5.75" customHeight="1">
      <c r="A132" s="4"/>
      <c r="B132" s="18"/>
      <c r="C132" s="18"/>
      <c r="D132" s="18"/>
      <c r="E132" s="18"/>
      <c r="F132" s="18"/>
      <c r="G132" s="18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5.75" customHeight="1">
      <c r="A133" s="4"/>
      <c r="B133" s="18"/>
      <c r="C133" s="18"/>
      <c r="D133" s="18"/>
      <c r="E133" s="18"/>
      <c r="F133" s="18"/>
      <c r="G133" s="18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5.75" customHeight="1">
      <c r="A134" s="4"/>
      <c r="B134" s="18"/>
      <c r="C134" s="18"/>
      <c r="D134" s="18"/>
      <c r="E134" s="18"/>
      <c r="F134" s="18"/>
      <c r="G134" s="18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5.75" customHeight="1">
      <c r="A135" s="4"/>
      <c r="B135" s="18"/>
      <c r="C135" s="18"/>
      <c r="D135" s="18"/>
      <c r="E135" s="18"/>
      <c r="F135" s="18"/>
      <c r="G135" s="18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5.75" customHeight="1">
      <c r="A136" s="4"/>
      <c r="B136" s="18"/>
      <c r="C136" s="18"/>
      <c r="D136" s="18"/>
      <c r="E136" s="18"/>
      <c r="F136" s="18"/>
      <c r="G136" s="18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5.75" customHeight="1">
      <c r="A137" s="4"/>
      <c r="B137" s="18"/>
      <c r="C137" s="18"/>
      <c r="D137" s="18"/>
      <c r="E137" s="18"/>
      <c r="F137" s="18"/>
      <c r="G137" s="18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5.75" customHeight="1">
      <c r="A138" s="4"/>
      <c r="B138" s="18"/>
      <c r="C138" s="18"/>
      <c r="D138" s="18"/>
      <c r="E138" s="18"/>
      <c r="F138" s="18"/>
      <c r="G138" s="18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5.75" customHeight="1">
      <c r="A139" s="4"/>
      <c r="B139" s="18"/>
      <c r="C139" s="18"/>
      <c r="D139" s="18"/>
      <c r="E139" s="18"/>
      <c r="F139" s="18"/>
      <c r="G139" s="18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5.75" customHeight="1">
      <c r="A140" s="4"/>
      <c r="B140" s="18"/>
      <c r="C140" s="18"/>
      <c r="D140" s="18"/>
      <c r="E140" s="18"/>
      <c r="F140" s="18"/>
      <c r="G140" s="18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5.75" customHeight="1">
      <c r="A141" s="4"/>
      <c r="B141" s="18"/>
      <c r="C141" s="18"/>
      <c r="D141" s="18"/>
      <c r="E141" s="18"/>
      <c r="F141" s="18"/>
      <c r="G141" s="18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5.75" customHeight="1">
      <c r="A142" s="4"/>
      <c r="B142" s="18"/>
      <c r="C142" s="18"/>
      <c r="D142" s="18"/>
      <c r="E142" s="18"/>
      <c r="F142" s="18"/>
      <c r="G142" s="18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5.75" customHeight="1">
      <c r="A143" s="4"/>
      <c r="B143" s="18"/>
      <c r="C143" s="18"/>
      <c r="D143" s="18"/>
      <c r="E143" s="18"/>
      <c r="F143" s="18"/>
      <c r="G143" s="18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5.75" customHeight="1">
      <c r="A144" s="4"/>
      <c r="B144" s="18"/>
      <c r="C144" s="18"/>
      <c r="D144" s="18"/>
      <c r="E144" s="18"/>
      <c r="F144" s="18"/>
      <c r="G144" s="18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5.75" customHeight="1">
      <c r="A145" s="4"/>
      <c r="B145" s="18"/>
      <c r="C145" s="18"/>
      <c r="D145" s="18"/>
      <c r="E145" s="18"/>
      <c r="F145" s="18"/>
      <c r="G145" s="18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5.75" customHeight="1">
      <c r="A146" s="4"/>
      <c r="B146" s="18"/>
      <c r="C146" s="18"/>
      <c r="D146" s="18"/>
      <c r="E146" s="18"/>
      <c r="F146" s="18"/>
      <c r="G146" s="18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5.75" customHeight="1">
      <c r="A147" s="4"/>
      <c r="B147" s="18"/>
      <c r="C147" s="18"/>
      <c r="D147" s="18"/>
      <c r="E147" s="18"/>
      <c r="F147" s="18"/>
      <c r="G147" s="18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5.75" customHeight="1">
      <c r="A148" s="4"/>
      <c r="B148" s="18"/>
      <c r="C148" s="18"/>
      <c r="D148" s="18"/>
      <c r="E148" s="18"/>
      <c r="F148" s="18"/>
      <c r="G148" s="18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5.75" customHeight="1">
      <c r="A149" s="4"/>
      <c r="B149" s="18"/>
      <c r="C149" s="18"/>
      <c r="D149" s="18"/>
      <c r="E149" s="18"/>
      <c r="F149" s="18"/>
      <c r="G149" s="18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5.75" customHeight="1">
      <c r="A150" s="4"/>
      <c r="B150" s="18"/>
      <c r="C150" s="18"/>
      <c r="D150" s="18"/>
      <c r="E150" s="18"/>
      <c r="F150" s="18"/>
      <c r="G150" s="18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5.75" customHeight="1">
      <c r="A151" s="4"/>
      <c r="B151" s="18"/>
      <c r="C151" s="18"/>
      <c r="D151" s="18"/>
      <c r="E151" s="18"/>
      <c r="F151" s="18"/>
      <c r="G151" s="18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5.75" customHeight="1">
      <c r="A152" s="4"/>
      <c r="B152" s="18"/>
      <c r="C152" s="18"/>
      <c r="D152" s="18"/>
      <c r="E152" s="18"/>
      <c r="F152" s="18"/>
      <c r="G152" s="18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5.75" customHeight="1">
      <c r="A153" s="4"/>
      <c r="B153" s="18"/>
      <c r="C153" s="18"/>
      <c r="D153" s="18"/>
      <c r="E153" s="18"/>
      <c r="F153" s="18"/>
      <c r="G153" s="18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5.75" customHeight="1">
      <c r="A154" s="4"/>
      <c r="B154" s="18"/>
      <c r="C154" s="18"/>
      <c r="D154" s="18"/>
      <c r="E154" s="18"/>
      <c r="F154" s="18"/>
      <c r="G154" s="18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5.75" customHeight="1">
      <c r="A155" s="4"/>
      <c r="B155" s="18"/>
      <c r="C155" s="18"/>
      <c r="D155" s="18"/>
      <c r="E155" s="18"/>
      <c r="F155" s="18"/>
      <c r="G155" s="18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5.75" customHeight="1">
      <c r="A156" s="4"/>
      <c r="B156" s="18"/>
      <c r="C156" s="18"/>
      <c r="D156" s="18"/>
      <c r="E156" s="18"/>
      <c r="F156" s="18"/>
      <c r="G156" s="18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5.75" customHeight="1">
      <c r="A157" s="4"/>
      <c r="B157" s="18"/>
      <c r="C157" s="18"/>
      <c r="D157" s="18"/>
      <c r="E157" s="18"/>
      <c r="F157" s="18"/>
      <c r="G157" s="18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5.75" customHeight="1">
      <c r="A158" s="4"/>
      <c r="B158" s="18"/>
      <c r="C158" s="18"/>
      <c r="D158" s="18"/>
      <c r="E158" s="18"/>
      <c r="F158" s="18"/>
      <c r="G158" s="18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5.75" customHeight="1">
      <c r="A159" s="4"/>
      <c r="B159" s="18"/>
      <c r="C159" s="18"/>
      <c r="D159" s="18"/>
      <c r="E159" s="18"/>
      <c r="F159" s="18"/>
      <c r="G159" s="18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5.75" customHeight="1">
      <c r="A160" s="4"/>
      <c r="B160" s="18"/>
      <c r="C160" s="18"/>
      <c r="D160" s="18"/>
      <c r="E160" s="18"/>
      <c r="F160" s="18"/>
      <c r="G160" s="18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5.75" customHeight="1">
      <c r="A161" s="4"/>
      <c r="B161" s="18"/>
      <c r="C161" s="18"/>
      <c r="D161" s="18"/>
      <c r="E161" s="18"/>
      <c r="F161" s="18"/>
      <c r="G161" s="18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5.75" customHeight="1">
      <c r="A162" s="4"/>
      <c r="B162" s="18"/>
      <c r="C162" s="18"/>
      <c r="D162" s="18"/>
      <c r="E162" s="18"/>
      <c r="F162" s="18"/>
      <c r="G162" s="18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5.75" customHeight="1">
      <c r="A163" s="4"/>
      <c r="B163" s="18"/>
      <c r="C163" s="18"/>
      <c r="D163" s="18"/>
      <c r="E163" s="18"/>
      <c r="F163" s="18"/>
      <c r="G163" s="18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5.75" customHeight="1">
      <c r="A164" s="4"/>
      <c r="B164" s="18"/>
      <c r="C164" s="18"/>
      <c r="D164" s="18"/>
      <c r="E164" s="18"/>
      <c r="F164" s="18"/>
      <c r="G164" s="18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5.75" customHeight="1">
      <c r="A165" s="4"/>
      <c r="B165" s="18"/>
      <c r="C165" s="18"/>
      <c r="D165" s="18"/>
      <c r="E165" s="18"/>
      <c r="F165" s="18"/>
      <c r="G165" s="18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5.75" customHeight="1">
      <c r="A166" s="4"/>
      <c r="B166" s="18"/>
      <c r="C166" s="18"/>
      <c r="D166" s="18"/>
      <c r="E166" s="18"/>
      <c r="F166" s="18"/>
      <c r="G166" s="18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5.75" customHeight="1">
      <c r="A167" s="4"/>
      <c r="B167" s="18"/>
      <c r="C167" s="18"/>
      <c r="D167" s="18"/>
      <c r="E167" s="18"/>
      <c r="F167" s="18"/>
      <c r="G167" s="18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5.75" customHeight="1">
      <c r="A168" s="4"/>
      <c r="B168" s="18"/>
      <c r="C168" s="18"/>
      <c r="D168" s="18"/>
      <c r="E168" s="18"/>
      <c r="F168" s="18"/>
      <c r="G168" s="18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5.75" customHeight="1">
      <c r="A169" s="4"/>
      <c r="B169" s="18"/>
      <c r="C169" s="18"/>
      <c r="D169" s="18"/>
      <c r="E169" s="18"/>
      <c r="F169" s="18"/>
      <c r="G169" s="18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5.75" customHeight="1">
      <c r="A170" s="4"/>
      <c r="B170" s="18"/>
      <c r="C170" s="18"/>
      <c r="D170" s="18"/>
      <c r="E170" s="18"/>
      <c r="F170" s="18"/>
      <c r="G170" s="18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5.75" customHeight="1">
      <c r="A171" s="4"/>
      <c r="B171" s="18"/>
      <c r="C171" s="18"/>
      <c r="D171" s="18"/>
      <c r="E171" s="18"/>
      <c r="F171" s="18"/>
      <c r="G171" s="18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5.75" customHeight="1">
      <c r="A172" s="4"/>
      <c r="B172" s="18"/>
      <c r="C172" s="18"/>
      <c r="D172" s="18"/>
      <c r="E172" s="18"/>
      <c r="F172" s="18"/>
      <c r="G172" s="18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5.75" customHeight="1">
      <c r="A173" s="4"/>
      <c r="B173" s="18"/>
      <c r="C173" s="18"/>
      <c r="D173" s="18"/>
      <c r="E173" s="18"/>
      <c r="F173" s="18"/>
      <c r="G173" s="18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5.75" customHeight="1">
      <c r="A174" s="4"/>
      <c r="B174" s="18"/>
      <c r="C174" s="18"/>
      <c r="D174" s="18"/>
      <c r="E174" s="18"/>
      <c r="F174" s="18"/>
      <c r="G174" s="18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5.75" customHeight="1">
      <c r="A175" s="4"/>
      <c r="B175" s="18"/>
      <c r="C175" s="18"/>
      <c r="D175" s="18"/>
      <c r="E175" s="18"/>
      <c r="F175" s="18"/>
      <c r="G175" s="18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5.75" customHeight="1">
      <c r="A176" s="4"/>
      <c r="B176" s="18"/>
      <c r="C176" s="18"/>
      <c r="D176" s="18"/>
      <c r="E176" s="18"/>
      <c r="F176" s="18"/>
      <c r="G176" s="18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5.75" customHeight="1">
      <c r="A177" s="4"/>
      <c r="B177" s="18"/>
      <c r="C177" s="18"/>
      <c r="D177" s="18"/>
      <c r="E177" s="18"/>
      <c r="F177" s="18"/>
      <c r="G177" s="18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5.75" customHeight="1">
      <c r="A178" s="4"/>
      <c r="B178" s="18"/>
      <c r="C178" s="18"/>
      <c r="D178" s="18"/>
      <c r="E178" s="18"/>
      <c r="F178" s="18"/>
      <c r="G178" s="18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5.75" customHeight="1">
      <c r="A179" s="4"/>
      <c r="B179" s="18"/>
      <c r="C179" s="18"/>
      <c r="D179" s="18"/>
      <c r="E179" s="18"/>
      <c r="F179" s="18"/>
      <c r="G179" s="18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5.75" customHeight="1">
      <c r="A180" s="4"/>
      <c r="B180" s="18"/>
      <c r="C180" s="18"/>
      <c r="D180" s="18"/>
      <c r="E180" s="18"/>
      <c r="F180" s="18"/>
      <c r="G180" s="18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5.75" customHeight="1">
      <c r="A181" s="4"/>
      <c r="B181" s="18"/>
      <c r="C181" s="18"/>
      <c r="D181" s="18"/>
      <c r="E181" s="18"/>
      <c r="F181" s="18"/>
      <c r="G181" s="18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5.75" customHeight="1">
      <c r="A182" s="4"/>
      <c r="B182" s="18"/>
      <c r="C182" s="18"/>
      <c r="D182" s="18"/>
      <c r="E182" s="18"/>
      <c r="F182" s="18"/>
      <c r="G182" s="18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5.75" customHeight="1">
      <c r="A183" s="4"/>
      <c r="B183" s="18"/>
      <c r="C183" s="18"/>
      <c r="D183" s="18"/>
      <c r="E183" s="18"/>
      <c r="F183" s="18"/>
      <c r="G183" s="18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5.75" customHeight="1">
      <c r="A184" s="4"/>
      <c r="B184" s="18"/>
      <c r="C184" s="18"/>
      <c r="D184" s="18"/>
      <c r="E184" s="18"/>
      <c r="F184" s="18"/>
      <c r="G184" s="18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5.75" customHeight="1">
      <c r="A185" s="4"/>
      <c r="B185" s="18"/>
      <c r="C185" s="18"/>
      <c r="D185" s="18"/>
      <c r="E185" s="18"/>
      <c r="F185" s="18"/>
      <c r="G185" s="18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5.75" customHeight="1">
      <c r="A186" s="4"/>
      <c r="B186" s="18"/>
      <c r="C186" s="18"/>
      <c r="D186" s="18"/>
      <c r="E186" s="18"/>
      <c r="F186" s="18"/>
      <c r="G186" s="18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5.75" customHeight="1">
      <c r="A187" s="4"/>
      <c r="B187" s="18"/>
      <c r="C187" s="18"/>
      <c r="D187" s="18"/>
      <c r="E187" s="18"/>
      <c r="F187" s="18"/>
      <c r="G187" s="18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5.75" customHeight="1">
      <c r="A188" s="4"/>
      <c r="B188" s="18"/>
      <c r="C188" s="18"/>
      <c r="D188" s="18"/>
      <c r="E188" s="18"/>
      <c r="F188" s="18"/>
      <c r="G188" s="18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5.75" customHeight="1">
      <c r="A189" s="4"/>
      <c r="B189" s="18"/>
      <c r="C189" s="18"/>
      <c r="D189" s="18"/>
      <c r="E189" s="18"/>
      <c r="F189" s="18"/>
      <c r="G189" s="18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5.75" customHeight="1">
      <c r="A190" s="4"/>
      <c r="B190" s="18"/>
      <c r="C190" s="18"/>
      <c r="D190" s="18"/>
      <c r="E190" s="18"/>
      <c r="F190" s="18"/>
      <c r="G190" s="18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5.75" customHeight="1">
      <c r="A191" s="4"/>
      <c r="B191" s="18"/>
      <c r="C191" s="18"/>
      <c r="D191" s="18"/>
      <c r="E191" s="18"/>
      <c r="F191" s="18"/>
      <c r="G191" s="18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5.75" customHeight="1">
      <c r="A192" s="4"/>
      <c r="B192" s="18"/>
      <c r="C192" s="18"/>
      <c r="D192" s="18"/>
      <c r="E192" s="18"/>
      <c r="F192" s="18"/>
      <c r="G192" s="18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5.75" customHeight="1">
      <c r="A193" s="4"/>
      <c r="B193" s="18"/>
      <c r="C193" s="18"/>
      <c r="D193" s="18"/>
      <c r="E193" s="18"/>
      <c r="F193" s="18"/>
      <c r="G193" s="18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5.75" customHeight="1">
      <c r="A194" s="4"/>
      <c r="B194" s="18"/>
      <c r="C194" s="18"/>
      <c r="D194" s="18"/>
      <c r="E194" s="18"/>
      <c r="F194" s="18"/>
      <c r="G194" s="18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5.75" customHeight="1">
      <c r="A195" s="4"/>
      <c r="B195" s="18"/>
      <c r="C195" s="18"/>
      <c r="D195" s="18"/>
      <c r="E195" s="18"/>
      <c r="F195" s="18"/>
      <c r="G195" s="18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5.75" customHeight="1">
      <c r="A196" s="4"/>
      <c r="B196" s="18"/>
      <c r="C196" s="18"/>
      <c r="D196" s="18"/>
      <c r="E196" s="18"/>
      <c r="F196" s="18"/>
      <c r="G196" s="18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5.75" customHeight="1">
      <c r="A197" s="4"/>
      <c r="B197" s="18"/>
      <c r="C197" s="18"/>
      <c r="D197" s="18"/>
      <c r="E197" s="18"/>
      <c r="F197" s="18"/>
      <c r="G197" s="18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5.75" customHeight="1">
      <c r="A198" s="4"/>
      <c r="B198" s="18"/>
      <c r="C198" s="18"/>
      <c r="D198" s="18"/>
      <c r="E198" s="18"/>
      <c r="F198" s="18"/>
      <c r="G198" s="18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5.75" customHeight="1">
      <c r="A199" s="4"/>
      <c r="B199" s="18"/>
      <c r="C199" s="18"/>
      <c r="D199" s="18"/>
      <c r="E199" s="18"/>
      <c r="F199" s="18"/>
      <c r="G199" s="18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5.75" customHeight="1">
      <c r="A200" s="4"/>
      <c r="B200" s="18"/>
      <c r="C200" s="18"/>
      <c r="D200" s="18"/>
      <c r="E200" s="18"/>
      <c r="F200" s="18"/>
      <c r="G200" s="18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5.75" customHeight="1">
      <c r="A201" s="4"/>
      <c r="B201" s="18"/>
      <c r="C201" s="18"/>
      <c r="D201" s="18"/>
      <c r="E201" s="18"/>
      <c r="F201" s="18"/>
      <c r="G201" s="18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5.75" customHeight="1">
      <c r="A202" s="4"/>
      <c r="B202" s="18"/>
      <c r="C202" s="18"/>
      <c r="D202" s="18"/>
      <c r="E202" s="18"/>
      <c r="F202" s="18"/>
      <c r="G202" s="18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5.75" customHeight="1">
      <c r="A203" s="4"/>
      <c r="B203" s="18"/>
      <c r="C203" s="18"/>
      <c r="D203" s="18"/>
      <c r="E203" s="18"/>
      <c r="F203" s="18"/>
      <c r="G203" s="18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5.75" customHeight="1">
      <c r="A204" s="4"/>
      <c r="B204" s="18"/>
      <c r="C204" s="18"/>
      <c r="D204" s="18"/>
      <c r="E204" s="18"/>
      <c r="F204" s="18"/>
      <c r="G204" s="18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5.75" customHeight="1">
      <c r="A205" s="4"/>
      <c r="B205" s="18"/>
      <c r="C205" s="18"/>
      <c r="D205" s="18"/>
      <c r="E205" s="18"/>
      <c r="F205" s="18"/>
      <c r="G205" s="18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5.75" customHeight="1">
      <c r="A206" s="4"/>
      <c r="B206" s="18"/>
      <c r="C206" s="18"/>
      <c r="D206" s="18"/>
      <c r="E206" s="18"/>
      <c r="F206" s="18"/>
      <c r="G206" s="18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5.75" customHeight="1">
      <c r="A207" s="4"/>
      <c r="B207" s="18"/>
      <c r="C207" s="18"/>
      <c r="D207" s="18"/>
      <c r="E207" s="18"/>
      <c r="F207" s="18"/>
      <c r="G207" s="18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5.75" customHeight="1">
      <c r="A208" s="4"/>
      <c r="B208" s="18"/>
      <c r="C208" s="18"/>
      <c r="D208" s="18"/>
      <c r="E208" s="18"/>
      <c r="F208" s="18"/>
      <c r="G208" s="18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5.75" customHeight="1">
      <c r="A209" s="4"/>
      <c r="B209" s="18"/>
      <c r="C209" s="18"/>
      <c r="D209" s="18"/>
      <c r="E209" s="18"/>
      <c r="F209" s="18"/>
      <c r="G209" s="18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5.75" customHeight="1">
      <c r="A210" s="4"/>
      <c r="B210" s="18"/>
      <c r="C210" s="18"/>
      <c r="D210" s="18"/>
      <c r="E210" s="18"/>
      <c r="F210" s="18"/>
      <c r="G210" s="18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5.75" customHeight="1">
      <c r="A211" s="4"/>
      <c r="B211" s="18"/>
      <c r="C211" s="18"/>
      <c r="D211" s="18"/>
      <c r="E211" s="18"/>
      <c r="F211" s="18"/>
      <c r="G211" s="18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5.75" customHeight="1">
      <c r="A212" s="4"/>
      <c r="B212" s="18"/>
      <c r="C212" s="18"/>
      <c r="D212" s="18"/>
      <c r="E212" s="18"/>
      <c r="F212" s="18"/>
      <c r="G212" s="18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5.75" customHeight="1">
      <c r="A213" s="4"/>
      <c r="B213" s="18"/>
      <c r="C213" s="18"/>
      <c r="D213" s="18"/>
      <c r="E213" s="18"/>
      <c r="F213" s="18"/>
      <c r="G213" s="18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5.75" customHeight="1">
      <c r="A214" s="4"/>
      <c r="B214" s="18"/>
      <c r="C214" s="18"/>
      <c r="D214" s="18"/>
      <c r="E214" s="18"/>
      <c r="F214" s="18"/>
      <c r="G214" s="18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5.75" customHeight="1">
      <c r="A215" s="4"/>
      <c r="B215" s="18"/>
      <c r="C215" s="18"/>
      <c r="D215" s="18"/>
      <c r="E215" s="18"/>
      <c r="F215" s="18"/>
      <c r="G215" s="18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5.75" customHeight="1">
      <c r="A216" s="4"/>
      <c r="B216" s="18"/>
      <c r="C216" s="18"/>
      <c r="D216" s="18"/>
      <c r="E216" s="18"/>
      <c r="F216" s="18"/>
      <c r="G216" s="18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5.75" customHeight="1">
      <c r="A217" s="4"/>
      <c r="B217" s="18"/>
      <c r="C217" s="18"/>
      <c r="D217" s="18"/>
      <c r="E217" s="18"/>
      <c r="F217" s="18"/>
      <c r="G217" s="18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5.75" customHeight="1">
      <c r="A218" s="4"/>
      <c r="B218" s="18"/>
      <c r="C218" s="18"/>
      <c r="D218" s="18"/>
      <c r="E218" s="18"/>
      <c r="F218" s="18"/>
      <c r="G218" s="18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5.75" customHeight="1">
      <c r="A219" s="4"/>
      <c r="B219" s="18"/>
      <c r="C219" s="18"/>
      <c r="D219" s="18"/>
      <c r="E219" s="18"/>
      <c r="F219" s="18"/>
      <c r="G219" s="18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5.75" customHeight="1">
      <c r="A220" s="4"/>
      <c r="B220" s="18"/>
      <c r="C220" s="18"/>
      <c r="D220" s="18"/>
      <c r="E220" s="18"/>
      <c r="F220" s="18"/>
      <c r="G220" s="18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34.0"/>
    <col customWidth="1" min="2" max="6" width="16.0"/>
    <col customWidth="1" min="7" max="25" width="8.71"/>
  </cols>
  <sheetData>
    <row r="1" ht="17.25" customHeight="1">
      <c r="A1" s="1" t="s">
        <v>53</v>
      </c>
      <c r="B1" s="11"/>
      <c r="C1" s="11"/>
      <c r="D1" s="11"/>
      <c r="E1" s="11"/>
      <c r="F1" s="11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29.25" customHeight="1">
      <c r="A2" s="5" t="s">
        <v>54</v>
      </c>
      <c r="B2" s="11"/>
      <c r="C2" s="11"/>
      <c r="D2" s="11"/>
      <c r="E2" s="11"/>
      <c r="F2" s="11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ht="17.25" customHeight="1">
      <c r="A3" s="6"/>
      <c r="B3" s="12" t="s">
        <v>55</v>
      </c>
      <c r="C3" s="12" t="s">
        <v>56</v>
      </c>
      <c r="D3" s="12" t="s">
        <v>57</v>
      </c>
      <c r="E3" s="12" t="s">
        <v>58</v>
      </c>
      <c r="F3" s="12" t="s">
        <v>59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ht="17.25" customHeight="1">
      <c r="A4" s="13" t="s">
        <v>37</v>
      </c>
      <c r="B4" s="14">
        <f>Historical!G4*(1+B5)</f>
        <v>26382.05971</v>
      </c>
      <c r="C4" s="14">
        <f t="shared" ref="C4:F4" si="1">B4*(1+C5)</f>
        <v>27041.6112</v>
      </c>
      <c r="D4" s="14">
        <f t="shared" si="1"/>
        <v>27852.85953</v>
      </c>
      <c r="E4" s="14">
        <f t="shared" si="1"/>
        <v>28688.44532</v>
      </c>
      <c r="F4" s="14">
        <f t="shared" si="1"/>
        <v>29405.65645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ht="17.25" customHeight="1">
      <c r="A5" s="13" t="s">
        <v>38</v>
      </c>
      <c r="B5" s="15">
        <v>0.015</v>
      </c>
      <c r="C5" s="15">
        <v>0.025</v>
      </c>
      <c r="D5" s="15">
        <v>0.03</v>
      </c>
      <c r="E5" s="15">
        <v>0.03</v>
      </c>
      <c r="F5" s="15">
        <v>0.025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ht="17.25" customHeight="1">
      <c r="A6" s="13" t="s">
        <v>40</v>
      </c>
      <c r="B6" s="15">
        <v>0.18</v>
      </c>
      <c r="C6" s="15">
        <v>0.184</v>
      </c>
      <c r="D6" s="15">
        <v>0.187</v>
      </c>
      <c r="E6" s="15">
        <v>0.189</v>
      </c>
      <c r="F6" s="15">
        <v>0.19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ht="17.25" customHeight="1">
      <c r="A7" s="13" t="s">
        <v>60</v>
      </c>
      <c r="B7" s="14">
        <f t="shared" ref="B7:F7" si="2">B4*B6</f>
        <v>4748.770747</v>
      </c>
      <c r="C7" s="14">
        <f t="shared" si="2"/>
        <v>4975.65646</v>
      </c>
      <c r="D7" s="14">
        <f t="shared" si="2"/>
        <v>5208.484733</v>
      </c>
      <c r="E7" s="14">
        <f t="shared" si="2"/>
        <v>5422.116165</v>
      </c>
      <c r="F7" s="14">
        <f t="shared" si="2"/>
        <v>5587.074726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ht="17.25" customHeight="1">
      <c r="A8" s="13" t="s">
        <v>61</v>
      </c>
      <c r="B8" s="15">
        <v>0.107</v>
      </c>
      <c r="C8" s="15">
        <v>0.112</v>
      </c>
      <c r="D8" s="15">
        <v>0.116</v>
      </c>
      <c r="E8" s="15">
        <v>0.119</v>
      </c>
      <c r="F8" s="15">
        <v>0.12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ht="17.25" customHeight="1">
      <c r="A9" s="13" t="s">
        <v>62</v>
      </c>
      <c r="B9" s="14">
        <f t="shared" ref="B9:F9" si="3">B4*B8</f>
        <v>2822.880388</v>
      </c>
      <c r="C9" s="14">
        <f t="shared" si="3"/>
        <v>3028.660454</v>
      </c>
      <c r="D9" s="14">
        <f t="shared" si="3"/>
        <v>3230.931706</v>
      </c>
      <c r="E9" s="14">
        <f t="shared" si="3"/>
        <v>3413.924993</v>
      </c>
      <c r="F9" s="14">
        <f t="shared" si="3"/>
        <v>3528.678774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ht="17.25" customHeight="1">
      <c r="A10" s="13" t="s">
        <v>63</v>
      </c>
      <c r="B10" s="15">
        <v>0.2629317622491242</v>
      </c>
      <c r="C10" s="15">
        <v>0.2629317622491242</v>
      </c>
      <c r="D10" s="15">
        <v>0.2629317622491242</v>
      </c>
      <c r="E10" s="15">
        <v>0.2629317622491242</v>
      </c>
      <c r="F10" s="15">
        <v>0.2629317622491242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ht="17.25" customHeight="1">
      <c r="A11" s="13" t="s">
        <v>64</v>
      </c>
      <c r="B11" s="14">
        <f t="shared" ref="B11:F11" si="4">B9*(1-B10)</f>
        <v>2080.655473</v>
      </c>
      <c r="C11" s="14">
        <f t="shared" si="4"/>
        <v>2232.329424</v>
      </c>
      <c r="D11" s="14">
        <f t="shared" si="4"/>
        <v>2381.417139</v>
      </c>
      <c r="E11" s="14">
        <f t="shared" si="4"/>
        <v>2516.295678</v>
      </c>
      <c r="F11" s="14">
        <f t="shared" si="4"/>
        <v>2600.877046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ht="17.25" customHeight="1">
      <c r="A12" s="13" t="s">
        <v>65</v>
      </c>
      <c r="B12" s="15">
        <v>0.073</v>
      </c>
      <c r="C12" s="15">
        <v>0.072</v>
      </c>
      <c r="D12" s="15">
        <v>0.071</v>
      </c>
      <c r="E12" s="15">
        <v>0.07</v>
      </c>
      <c r="F12" s="15">
        <v>0.07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ht="17.25" customHeight="1">
      <c r="A13" s="13" t="s">
        <v>66</v>
      </c>
      <c r="B13" s="14">
        <f t="shared" ref="B13:F13" si="5">B4*B12</f>
        <v>1925.890358</v>
      </c>
      <c r="C13" s="14">
        <f t="shared" si="5"/>
        <v>1946.996006</v>
      </c>
      <c r="D13" s="14">
        <f t="shared" si="5"/>
        <v>1977.553027</v>
      </c>
      <c r="E13" s="14">
        <f t="shared" si="5"/>
        <v>2008.191172</v>
      </c>
      <c r="F13" s="14">
        <f t="shared" si="5"/>
        <v>2058.395952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ht="17.25" customHeight="1">
      <c r="A14" s="13" t="s">
        <v>48</v>
      </c>
      <c r="B14" s="15">
        <v>0.073</v>
      </c>
      <c r="C14" s="15">
        <v>0.072</v>
      </c>
      <c r="D14" s="15">
        <v>0.071</v>
      </c>
      <c r="E14" s="15">
        <v>0.07</v>
      </c>
      <c r="F14" s="15">
        <v>0.07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ht="17.25" customHeight="1">
      <c r="A15" s="13" t="s">
        <v>47</v>
      </c>
      <c r="B15" s="14">
        <f t="shared" ref="B15:F15" si="6">B4*B14</f>
        <v>1925.890358</v>
      </c>
      <c r="C15" s="14">
        <f t="shared" si="6"/>
        <v>1946.996006</v>
      </c>
      <c r="D15" s="14">
        <f t="shared" si="6"/>
        <v>1977.553027</v>
      </c>
      <c r="E15" s="14">
        <f t="shared" si="6"/>
        <v>2008.191172</v>
      </c>
      <c r="F15" s="14">
        <f t="shared" si="6"/>
        <v>2058.395952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ht="17.25" customHeight="1">
      <c r="A16" s="13" t="s">
        <v>67</v>
      </c>
      <c r="B16" s="14">
        <f>(B4-Historical!G4)*0.01</f>
        <v>3.898826557</v>
      </c>
      <c r="C16" s="14">
        <f t="shared" ref="C16:F16" si="7">(C4-B4)*0.01</f>
        <v>6.595514926</v>
      </c>
      <c r="D16" s="14">
        <f t="shared" si="7"/>
        <v>8.112483359</v>
      </c>
      <c r="E16" s="14">
        <f t="shared" si="7"/>
        <v>8.35585786</v>
      </c>
      <c r="F16" s="14">
        <f t="shared" si="7"/>
        <v>7.17211133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ht="17.25" customHeight="1">
      <c r="A17" s="13" t="s">
        <v>68</v>
      </c>
      <c r="B17" s="14">
        <f t="shared" ref="B17:F17" si="8">B11+B13-B15-B16</f>
        <v>2076.756647</v>
      </c>
      <c r="C17" s="14">
        <f t="shared" si="8"/>
        <v>2225.733909</v>
      </c>
      <c r="D17" s="14">
        <f t="shared" si="8"/>
        <v>2373.304655</v>
      </c>
      <c r="E17" s="14">
        <f t="shared" si="8"/>
        <v>2507.939821</v>
      </c>
      <c r="F17" s="14">
        <f t="shared" si="8"/>
        <v>2593.704934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>
      <c r="A18" s="4"/>
      <c r="B18" s="19"/>
      <c r="C18" s="19"/>
      <c r="D18" s="19"/>
      <c r="E18" s="19"/>
      <c r="F18" s="19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</row>
    <row r="19">
      <c r="A19" s="4"/>
      <c r="B19" s="19"/>
      <c r="C19" s="19"/>
      <c r="D19" s="19"/>
      <c r="E19" s="19"/>
      <c r="F19" s="19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  <row r="20">
      <c r="A20" s="4"/>
      <c r="B20" s="19"/>
      <c r="C20" s="19"/>
      <c r="D20" s="19"/>
      <c r="E20" s="19"/>
      <c r="F20" s="19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</row>
    <row r="21" ht="15.75" customHeight="1">
      <c r="A21" s="4"/>
      <c r="B21" s="19"/>
      <c r="C21" s="19"/>
      <c r="D21" s="19"/>
      <c r="E21" s="19"/>
      <c r="F21" s="19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  <row r="22" ht="15.75" customHeight="1">
      <c r="A22" s="4"/>
      <c r="B22" s="19"/>
      <c r="C22" s="19"/>
      <c r="D22" s="19"/>
      <c r="E22" s="19"/>
      <c r="F22" s="19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</row>
    <row r="23" ht="15.75" customHeight="1">
      <c r="A23" s="4"/>
      <c r="B23" s="19"/>
      <c r="C23" s="19"/>
      <c r="D23" s="19"/>
      <c r="E23" s="19"/>
      <c r="F23" s="19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  <row r="24" ht="15.75" customHeight="1">
      <c r="A24" s="4"/>
      <c r="B24" s="19"/>
      <c r="C24" s="19"/>
      <c r="D24" s="19"/>
      <c r="E24" s="19"/>
      <c r="F24" s="19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</row>
    <row r="25" ht="15.75" customHeight="1">
      <c r="A25" s="4"/>
      <c r="B25" s="19"/>
      <c r="C25" s="19"/>
      <c r="D25" s="19"/>
      <c r="E25" s="19"/>
      <c r="F25" s="1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</row>
    <row r="26" ht="15.75" customHeight="1">
      <c r="A26" s="4"/>
      <c r="B26" s="19"/>
      <c r="C26" s="19"/>
      <c r="D26" s="19"/>
      <c r="E26" s="19"/>
      <c r="F26" s="19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</row>
    <row r="27" ht="15.75" customHeight="1">
      <c r="A27" s="4"/>
      <c r="B27" s="19"/>
      <c r="C27" s="19"/>
      <c r="D27" s="19"/>
      <c r="E27" s="19"/>
      <c r="F27" s="19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  <row r="28" ht="15.75" customHeight="1">
      <c r="A28" s="4"/>
      <c r="B28" s="19"/>
      <c r="C28" s="19"/>
      <c r="D28" s="19"/>
      <c r="E28" s="19"/>
      <c r="F28" s="19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</row>
    <row r="29" ht="15.75" customHeight="1">
      <c r="A29" s="4"/>
      <c r="B29" s="19"/>
      <c r="C29" s="19"/>
      <c r="D29" s="19"/>
      <c r="E29" s="19"/>
      <c r="F29" s="1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  <row r="30" ht="15.75" customHeight="1">
      <c r="A30" s="4"/>
      <c r="B30" s="19"/>
      <c r="C30" s="19"/>
      <c r="D30" s="19"/>
      <c r="E30" s="19"/>
      <c r="F30" s="19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</row>
    <row r="31" ht="15.75" customHeight="1">
      <c r="A31" s="4"/>
      <c r="B31" s="19"/>
      <c r="C31" s="19"/>
      <c r="D31" s="19"/>
      <c r="E31" s="19"/>
      <c r="F31" s="19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  <row r="32" ht="15.75" customHeight="1">
      <c r="A32" s="4"/>
      <c r="B32" s="19"/>
      <c r="C32" s="19"/>
      <c r="D32" s="19"/>
      <c r="E32" s="19"/>
      <c r="F32" s="19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</row>
    <row r="33" ht="15.75" customHeight="1">
      <c r="A33" s="4"/>
      <c r="B33" s="19"/>
      <c r="C33" s="19"/>
      <c r="D33" s="19"/>
      <c r="E33" s="19"/>
      <c r="F33" s="19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  <row r="34" ht="15.75" customHeight="1">
      <c r="A34" s="4"/>
      <c r="B34" s="19"/>
      <c r="C34" s="19"/>
      <c r="D34" s="19"/>
      <c r="E34" s="19"/>
      <c r="F34" s="19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</row>
    <row r="35" ht="15.75" customHeight="1">
      <c r="A35" s="4"/>
      <c r="B35" s="19"/>
      <c r="C35" s="19"/>
      <c r="D35" s="19"/>
      <c r="E35" s="19"/>
      <c r="F35" s="19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</row>
    <row r="36" ht="15.75" customHeight="1">
      <c r="A36" s="4"/>
      <c r="B36" s="19"/>
      <c r="C36" s="19"/>
      <c r="D36" s="19"/>
      <c r="E36" s="19"/>
      <c r="F36" s="19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</row>
    <row r="37" ht="15.75" customHeight="1">
      <c r="A37" s="4"/>
      <c r="B37" s="19"/>
      <c r="C37" s="19"/>
      <c r="D37" s="19"/>
      <c r="E37" s="19"/>
      <c r="F37" s="19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</row>
    <row r="38" ht="15.75" customHeight="1">
      <c r="A38" s="4"/>
      <c r="B38" s="19"/>
      <c r="C38" s="19"/>
      <c r="D38" s="19"/>
      <c r="E38" s="19"/>
      <c r="F38" s="19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</row>
    <row r="39" ht="15.75" customHeight="1">
      <c r="A39" s="4"/>
      <c r="B39" s="19"/>
      <c r="C39" s="19"/>
      <c r="D39" s="19"/>
      <c r="E39" s="19"/>
      <c r="F39" s="19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</row>
    <row r="40" ht="15.75" customHeight="1">
      <c r="A40" s="4"/>
      <c r="B40" s="19"/>
      <c r="C40" s="19"/>
      <c r="D40" s="19"/>
      <c r="E40" s="19"/>
      <c r="F40" s="19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</row>
    <row r="41" ht="15.75" customHeight="1">
      <c r="A41" s="4"/>
      <c r="B41" s="19"/>
      <c r="C41" s="19"/>
      <c r="D41" s="19"/>
      <c r="E41" s="19"/>
      <c r="F41" s="19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</row>
    <row r="42" ht="15.75" customHeight="1">
      <c r="A42" s="4"/>
      <c r="B42" s="19"/>
      <c r="C42" s="19"/>
      <c r="D42" s="19"/>
      <c r="E42" s="19"/>
      <c r="F42" s="19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</row>
    <row r="43" ht="15.75" customHeight="1">
      <c r="A43" s="4"/>
      <c r="B43" s="19"/>
      <c r="C43" s="19"/>
      <c r="D43" s="19"/>
      <c r="E43" s="19"/>
      <c r="F43" s="19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</row>
    <row r="44" ht="15.75" customHeight="1">
      <c r="A44" s="4"/>
      <c r="B44" s="19"/>
      <c r="C44" s="19"/>
      <c r="D44" s="19"/>
      <c r="E44" s="19"/>
      <c r="F44" s="19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</row>
    <row r="45" ht="15.75" customHeight="1">
      <c r="A45" s="4"/>
      <c r="B45" s="19"/>
      <c r="C45" s="19"/>
      <c r="D45" s="19"/>
      <c r="E45" s="19"/>
      <c r="F45" s="19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</row>
    <row r="46" ht="15.75" customHeight="1">
      <c r="A46" s="4"/>
      <c r="B46" s="19"/>
      <c r="C46" s="19"/>
      <c r="D46" s="19"/>
      <c r="E46" s="19"/>
      <c r="F46" s="19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</row>
    <row r="47" ht="15.75" customHeight="1">
      <c r="A47" s="4"/>
      <c r="B47" s="19"/>
      <c r="C47" s="19"/>
      <c r="D47" s="19"/>
      <c r="E47" s="19"/>
      <c r="F47" s="19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</row>
    <row r="48" ht="15.75" customHeight="1">
      <c r="A48" s="4"/>
      <c r="B48" s="19"/>
      <c r="C48" s="19"/>
      <c r="D48" s="19"/>
      <c r="E48" s="19"/>
      <c r="F48" s="19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</row>
    <row r="49" ht="15.75" customHeight="1">
      <c r="A49" s="4"/>
      <c r="B49" s="19"/>
      <c r="C49" s="19"/>
      <c r="D49" s="19"/>
      <c r="E49" s="19"/>
      <c r="F49" s="19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</row>
    <row r="50" ht="15.75" customHeight="1">
      <c r="A50" s="4"/>
      <c r="B50" s="19"/>
      <c r="C50" s="19"/>
      <c r="D50" s="19"/>
      <c r="E50" s="19"/>
      <c r="F50" s="19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</row>
    <row r="51" ht="15.75" customHeight="1">
      <c r="A51" s="4"/>
      <c r="B51" s="19"/>
      <c r="C51" s="19"/>
      <c r="D51" s="19"/>
      <c r="E51" s="19"/>
      <c r="F51" s="19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</row>
    <row r="52" ht="15.75" customHeight="1">
      <c r="A52" s="4"/>
      <c r="B52" s="19"/>
      <c r="C52" s="19"/>
      <c r="D52" s="19"/>
      <c r="E52" s="19"/>
      <c r="F52" s="19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</row>
    <row r="53" ht="15.75" customHeight="1">
      <c r="A53" s="4"/>
      <c r="B53" s="19"/>
      <c r="C53" s="19"/>
      <c r="D53" s="19"/>
      <c r="E53" s="19"/>
      <c r="F53" s="19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</row>
    <row r="54" ht="15.75" customHeight="1">
      <c r="A54" s="4"/>
      <c r="B54" s="19"/>
      <c r="C54" s="19"/>
      <c r="D54" s="19"/>
      <c r="E54" s="19"/>
      <c r="F54" s="19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</row>
    <row r="55" ht="15.75" customHeight="1">
      <c r="A55" s="4"/>
      <c r="B55" s="19"/>
      <c r="C55" s="19"/>
      <c r="D55" s="19"/>
      <c r="E55" s="19"/>
      <c r="F55" s="19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</row>
    <row r="56" ht="15.75" customHeight="1">
      <c r="A56" s="4"/>
      <c r="B56" s="19"/>
      <c r="C56" s="19"/>
      <c r="D56" s="19"/>
      <c r="E56" s="19"/>
      <c r="F56" s="19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</row>
    <row r="57" ht="15.75" customHeight="1">
      <c r="A57" s="4"/>
      <c r="B57" s="19"/>
      <c r="C57" s="19"/>
      <c r="D57" s="19"/>
      <c r="E57" s="19"/>
      <c r="F57" s="19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</row>
    <row r="58" ht="15.75" customHeight="1">
      <c r="A58" s="4"/>
      <c r="B58" s="19"/>
      <c r="C58" s="19"/>
      <c r="D58" s="19"/>
      <c r="E58" s="19"/>
      <c r="F58" s="19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</row>
    <row r="59" ht="15.75" customHeight="1">
      <c r="A59" s="4"/>
      <c r="B59" s="19"/>
      <c r="C59" s="19"/>
      <c r="D59" s="19"/>
      <c r="E59" s="19"/>
      <c r="F59" s="19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</row>
    <row r="60" ht="15.75" customHeight="1">
      <c r="A60" s="4"/>
      <c r="B60" s="19"/>
      <c r="C60" s="19"/>
      <c r="D60" s="19"/>
      <c r="E60" s="19"/>
      <c r="F60" s="19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</row>
    <row r="61" ht="15.75" customHeight="1">
      <c r="A61" s="4"/>
      <c r="B61" s="19"/>
      <c r="C61" s="19"/>
      <c r="D61" s="19"/>
      <c r="E61" s="19"/>
      <c r="F61" s="19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</row>
    <row r="62" ht="15.75" customHeight="1">
      <c r="A62" s="4"/>
      <c r="B62" s="19"/>
      <c r="C62" s="19"/>
      <c r="D62" s="19"/>
      <c r="E62" s="19"/>
      <c r="F62" s="19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</row>
    <row r="63" ht="15.75" customHeight="1">
      <c r="A63" s="4"/>
      <c r="B63" s="19"/>
      <c r="C63" s="19"/>
      <c r="D63" s="19"/>
      <c r="E63" s="19"/>
      <c r="F63" s="19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</row>
    <row r="64" ht="15.75" customHeight="1">
      <c r="A64" s="4"/>
      <c r="B64" s="19"/>
      <c r="C64" s="19"/>
      <c r="D64" s="19"/>
      <c r="E64" s="19"/>
      <c r="F64" s="19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</row>
    <row r="65" ht="15.75" customHeight="1">
      <c r="A65" s="4"/>
      <c r="B65" s="19"/>
      <c r="C65" s="19"/>
      <c r="D65" s="19"/>
      <c r="E65" s="19"/>
      <c r="F65" s="19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</row>
    <row r="66" ht="15.75" customHeight="1">
      <c r="A66" s="4"/>
      <c r="B66" s="19"/>
      <c r="C66" s="19"/>
      <c r="D66" s="19"/>
      <c r="E66" s="19"/>
      <c r="F66" s="19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</row>
    <row r="67" ht="15.75" customHeight="1">
      <c r="A67" s="4"/>
      <c r="B67" s="19"/>
      <c r="C67" s="19"/>
      <c r="D67" s="19"/>
      <c r="E67" s="19"/>
      <c r="F67" s="19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</row>
    <row r="68" ht="15.75" customHeight="1">
      <c r="A68" s="4"/>
      <c r="B68" s="19"/>
      <c r="C68" s="19"/>
      <c r="D68" s="19"/>
      <c r="E68" s="19"/>
      <c r="F68" s="19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</row>
    <row r="69" ht="15.75" customHeight="1">
      <c r="A69" s="4"/>
      <c r="B69" s="19"/>
      <c r="C69" s="19"/>
      <c r="D69" s="19"/>
      <c r="E69" s="19"/>
      <c r="F69" s="19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</row>
    <row r="70" ht="15.75" customHeight="1">
      <c r="A70" s="4"/>
      <c r="B70" s="19"/>
      <c r="C70" s="19"/>
      <c r="D70" s="19"/>
      <c r="E70" s="19"/>
      <c r="F70" s="19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</row>
    <row r="71" ht="15.75" customHeight="1">
      <c r="A71" s="4"/>
      <c r="B71" s="19"/>
      <c r="C71" s="19"/>
      <c r="D71" s="19"/>
      <c r="E71" s="19"/>
      <c r="F71" s="19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</row>
    <row r="72" ht="15.75" customHeight="1">
      <c r="A72" s="4"/>
      <c r="B72" s="19"/>
      <c r="C72" s="19"/>
      <c r="D72" s="19"/>
      <c r="E72" s="19"/>
      <c r="F72" s="19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</row>
    <row r="73" ht="15.75" customHeight="1">
      <c r="A73" s="4"/>
      <c r="B73" s="19"/>
      <c r="C73" s="19"/>
      <c r="D73" s="19"/>
      <c r="E73" s="19"/>
      <c r="F73" s="19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</row>
    <row r="74" ht="15.75" customHeight="1">
      <c r="A74" s="4"/>
      <c r="B74" s="19"/>
      <c r="C74" s="19"/>
      <c r="D74" s="19"/>
      <c r="E74" s="19"/>
      <c r="F74" s="19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</row>
    <row r="75" ht="15.75" customHeight="1">
      <c r="A75" s="4"/>
      <c r="B75" s="19"/>
      <c r="C75" s="19"/>
      <c r="D75" s="19"/>
      <c r="E75" s="19"/>
      <c r="F75" s="19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</row>
    <row r="76" ht="15.75" customHeight="1">
      <c r="A76" s="4"/>
      <c r="B76" s="19"/>
      <c r="C76" s="19"/>
      <c r="D76" s="19"/>
      <c r="E76" s="19"/>
      <c r="F76" s="19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</row>
    <row r="77" ht="15.75" customHeight="1">
      <c r="A77" s="4"/>
      <c r="B77" s="19"/>
      <c r="C77" s="19"/>
      <c r="D77" s="19"/>
      <c r="E77" s="19"/>
      <c r="F77" s="19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</row>
    <row r="78" ht="15.75" customHeight="1">
      <c r="A78" s="4"/>
      <c r="B78" s="19"/>
      <c r="C78" s="19"/>
      <c r="D78" s="19"/>
      <c r="E78" s="19"/>
      <c r="F78" s="19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</row>
    <row r="79" ht="15.75" customHeight="1">
      <c r="A79" s="4"/>
      <c r="B79" s="19"/>
      <c r="C79" s="19"/>
      <c r="D79" s="19"/>
      <c r="E79" s="19"/>
      <c r="F79" s="19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</row>
    <row r="80" ht="15.75" customHeight="1">
      <c r="A80" s="4"/>
      <c r="B80" s="19"/>
      <c r="C80" s="19"/>
      <c r="D80" s="19"/>
      <c r="E80" s="19"/>
      <c r="F80" s="19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</row>
    <row r="81" ht="15.75" customHeight="1">
      <c r="A81" s="4"/>
      <c r="B81" s="19"/>
      <c r="C81" s="19"/>
      <c r="D81" s="19"/>
      <c r="E81" s="19"/>
      <c r="F81" s="19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</row>
    <row r="82" ht="15.75" customHeight="1">
      <c r="A82" s="4"/>
      <c r="B82" s="19"/>
      <c r="C82" s="19"/>
      <c r="D82" s="19"/>
      <c r="E82" s="19"/>
      <c r="F82" s="19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</row>
    <row r="83" ht="15.75" customHeight="1">
      <c r="A83" s="4"/>
      <c r="B83" s="19"/>
      <c r="C83" s="19"/>
      <c r="D83" s="19"/>
      <c r="E83" s="19"/>
      <c r="F83" s="19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</row>
    <row r="84" ht="15.75" customHeight="1">
      <c r="A84" s="4"/>
      <c r="B84" s="19"/>
      <c r="C84" s="19"/>
      <c r="D84" s="19"/>
      <c r="E84" s="19"/>
      <c r="F84" s="19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</row>
    <row r="85" ht="15.75" customHeight="1">
      <c r="A85" s="4"/>
      <c r="B85" s="19"/>
      <c r="C85" s="19"/>
      <c r="D85" s="19"/>
      <c r="E85" s="19"/>
      <c r="F85" s="19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</row>
    <row r="86" ht="15.75" customHeight="1">
      <c r="A86" s="4"/>
      <c r="B86" s="19"/>
      <c r="C86" s="19"/>
      <c r="D86" s="19"/>
      <c r="E86" s="19"/>
      <c r="F86" s="19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</row>
    <row r="87" ht="15.75" customHeight="1">
      <c r="A87" s="4"/>
      <c r="B87" s="19"/>
      <c r="C87" s="19"/>
      <c r="D87" s="19"/>
      <c r="E87" s="19"/>
      <c r="F87" s="19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</row>
    <row r="88" ht="15.75" customHeight="1">
      <c r="A88" s="4"/>
      <c r="B88" s="19"/>
      <c r="C88" s="19"/>
      <c r="D88" s="19"/>
      <c r="E88" s="19"/>
      <c r="F88" s="19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</row>
    <row r="89" ht="15.75" customHeight="1">
      <c r="A89" s="4"/>
      <c r="B89" s="19"/>
      <c r="C89" s="19"/>
      <c r="D89" s="19"/>
      <c r="E89" s="19"/>
      <c r="F89" s="19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</row>
    <row r="90" ht="15.75" customHeight="1">
      <c r="A90" s="4"/>
      <c r="B90" s="19"/>
      <c r="C90" s="19"/>
      <c r="D90" s="19"/>
      <c r="E90" s="19"/>
      <c r="F90" s="19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</row>
    <row r="91" ht="15.75" customHeight="1">
      <c r="A91" s="4"/>
      <c r="B91" s="19"/>
      <c r="C91" s="19"/>
      <c r="D91" s="19"/>
      <c r="E91" s="19"/>
      <c r="F91" s="19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</row>
    <row r="92" ht="15.75" customHeight="1">
      <c r="A92" s="4"/>
      <c r="B92" s="19"/>
      <c r="C92" s="19"/>
      <c r="D92" s="19"/>
      <c r="E92" s="19"/>
      <c r="F92" s="19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</row>
    <row r="93" ht="15.75" customHeight="1">
      <c r="A93" s="4"/>
      <c r="B93" s="19"/>
      <c r="C93" s="19"/>
      <c r="D93" s="19"/>
      <c r="E93" s="19"/>
      <c r="F93" s="19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</row>
    <row r="94" ht="15.75" customHeight="1">
      <c r="A94" s="4"/>
      <c r="B94" s="19"/>
      <c r="C94" s="19"/>
      <c r="D94" s="19"/>
      <c r="E94" s="19"/>
      <c r="F94" s="19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</row>
    <row r="95" ht="15.75" customHeight="1">
      <c r="A95" s="4"/>
      <c r="B95" s="19"/>
      <c r="C95" s="19"/>
      <c r="D95" s="19"/>
      <c r="E95" s="19"/>
      <c r="F95" s="19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</row>
    <row r="96" ht="15.75" customHeight="1">
      <c r="A96" s="4"/>
      <c r="B96" s="19"/>
      <c r="C96" s="19"/>
      <c r="D96" s="19"/>
      <c r="E96" s="19"/>
      <c r="F96" s="19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</row>
    <row r="97" ht="15.75" customHeight="1">
      <c r="A97" s="4"/>
      <c r="B97" s="19"/>
      <c r="C97" s="19"/>
      <c r="D97" s="19"/>
      <c r="E97" s="19"/>
      <c r="F97" s="19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</row>
    <row r="98" ht="15.75" customHeight="1">
      <c r="A98" s="4"/>
      <c r="B98" s="19"/>
      <c r="C98" s="19"/>
      <c r="D98" s="19"/>
      <c r="E98" s="19"/>
      <c r="F98" s="19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</row>
    <row r="99" ht="15.75" customHeight="1">
      <c r="A99" s="4"/>
      <c r="B99" s="19"/>
      <c r="C99" s="19"/>
      <c r="D99" s="19"/>
      <c r="E99" s="19"/>
      <c r="F99" s="19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</row>
    <row r="100" ht="15.75" customHeight="1">
      <c r="A100" s="4"/>
      <c r="B100" s="19"/>
      <c r="C100" s="19"/>
      <c r="D100" s="19"/>
      <c r="E100" s="19"/>
      <c r="F100" s="19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</row>
    <row r="101" ht="15.75" customHeight="1">
      <c r="A101" s="4"/>
      <c r="B101" s="19"/>
      <c r="C101" s="19"/>
      <c r="D101" s="19"/>
      <c r="E101" s="19"/>
      <c r="F101" s="19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</row>
    <row r="102" ht="15.75" customHeight="1">
      <c r="A102" s="4"/>
      <c r="B102" s="19"/>
      <c r="C102" s="19"/>
      <c r="D102" s="19"/>
      <c r="E102" s="19"/>
      <c r="F102" s="19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</row>
    <row r="103" ht="15.75" customHeight="1">
      <c r="A103" s="4"/>
      <c r="B103" s="19"/>
      <c r="C103" s="19"/>
      <c r="D103" s="19"/>
      <c r="E103" s="19"/>
      <c r="F103" s="19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</row>
    <row r="104" ht="15.75" customHeight="1">
      <c r="A104" s="4"/>
      <c r="B104" s="19"/>
      <c r="C104" s="19"/>
      <c r="D104" s="19"/>
      <c r="E104" s="19"/>
      <c r="F104" s="19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</row>
    <row r="105" ht="15.75" customHeight="1">
      <c r="A105" s="4"/>
      <c r="B105" s="19"/>
      <c r="C105" s="19"/>
      <c r="D105" s="19"/>
      <c r="E105" s="19"/>
      <c r="F105" s="19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</row>
    <row r="106" ht="15.75" customHeight="1">
      <c r="A106" s="4"/>
      <c r="B106" s="19"/>
      <c r="C106" s="19"/>
      <c r="D106" s="19"/>
      <c r="E106" s="19"/>
      <c r="F106" s="19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</row>
    <row r="107" ht="15.75" customHeight="1">
      <c r="A107" s="4"/>
      <c r="B107" s="19"/>
      <c r="C107" s="19"/>
      <c r="D107" s="19"/>
      <c r="E107" s="19"/>
      <c r="F107" s="19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</row>
    <row r="108" ht="15.75" customHeight="1">
      <c r="A108" s="4"/>
      <c r="B108" s="19"/>
      <c r="C108" s="19"/>
      <c r="D108" s="19"/>
      <c r="E108" s="19"/>
      <c r="F108" s="19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</row>
    <row r="109" ht="15.75" customHeight="1">
      <c r="A109" s="4"/>
      <c r="B109" s="19"/>
      <c r="C109" s="19"/>
      <c r="D109" s="19"/>
      <c r="E109" s="19"/>
      <c r="F109" s="19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</row>
    <row r="110" ht="15.75" customHeight="1">
      <c r="A110" s="4"/>
      <c r="B110" s="19"/>
      <c r="C110" s="19"/>
      <c r="D110" s="19"/>
      <c r="E110" s="19"/>
      <c r="F110" s="19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</row>
    <row r="111" ht="15.75" customHeight="1">
      <c r="A111" s="4"/>
      <c r="B111" s="19"/>
      <c r="C111" s="19"/>
      <c r="D111" s="19"/>
      <c r="E111" s="19"/>
      <c r="F111" s="19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</row>
    <row r="112" ht="15.75" customHeight="1">
      <c r="A112" s="4"/>
      <c r="B112" s="19"/>
      <c r="C112" s="19"/>
      <c r="D112" s="19"/>
      <c r="E112" s="19"/>
      <c r="F112" s="19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</row>
    <row r="113" ht="15.75" customHeight="1">
      <c r="A113" s="4"/>
      <c r="B113" s="19"/>
      <c r="C113" s="19"/>
      <c r="D113" s="19"/>
      <c r="E113" s="19"/>
      <c r="F113" s="19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</row>
    <row r="114" ht="15.75" customHeight="1">
      <c r="A114" s="4"/>
      <c r="B114" s="19"/>
      <c r="C114" s="19"/>
      <c r="D114" s="19"/>
      <c r="E114" s="19"/>
      <c r="F114" s="19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</row>
    <row r="115" ht="15.75" customHeight="1">
      <c r="A115" s="4"/>
      <c r="B115" s="19"/>
      <c r="C115" s="19"/>
      <c r="D115" s="19"/>
      <c r="E115" s="19"/>
      <c r="F115" s="19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</row>
    <row r="116" ht="15.75" customHeight="1">
      <c r="A116" s="4"/>
      <c r="B116" s="19"/>
      <c r="C116" s="19"/>
      <c r="D116" s="19"/>
      <c r="E116" s="19"/>
      <c r="F116" s="19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</row>
    <row r="117" ht="15.75" customHeight="1">
      <c r="A117" s="4"/>
      <c r="B117" s="19"/>
      <c r="C117" s="19"/>
      <c r="D117" s="19"/>
      <c r="E117" s="19"/>
      <c r="F117" s="19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</row>
    <row r="118" ht="15.75" customHeight="1">
      <c r="A118" s="4"/>
      <c r="B118" s="19"/>
      <c r="C118" s="19"/>
      <c r="D118" s="19"/>
      <c r="E118" s="19"/>
      <c r="F118" s="19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</row>
    <row r="119" ht="15.75" customHeight="1">
      <c r="A119" s="4"/>
      <c r="B119" s="19"/>
      <c r="C119" s="19"/>
      <c r="D119" s="19"/>
      <c r="E119" s="19"/>
      <c r="F119" s="19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</row>
    <row r="120" ht="15.75" customHeight="1">
      <c r="A120" s="4"/>
      <c r="B120" s="19"/>
      <c r="C120" s="19"/>
      <c r="D120" s="19"/>
      <c r="E120" s="19"/>
      <c r="F120" s="19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</row>
    <row r="121" ht="15.75" customHeight="1">
      <c r="A121" s="4"/>
      <c r="B121" s="19"/>
      <c r="C121" s="19"/>
      <c r="D121" s="19"/>
      <c r="E121" s="19"/>
      <c r="F121" s="19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</row>
    <row r="122" ht="15.75" customHeight="1">
      <c r="A122" s="4"/>
      <c r="B122" s="19"/>
      <c r="C122" s="19"/>
      <c r="D122" s="19"/>
      <c r="E122" s="19"/>
      <c r="F122" s="19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</row>
    <row r="123" ht="15.75" customHeight="1">
      <c r="A123" s="4"/>
      <c r="B123" s="19"/>
      <c r="C123" s="19"/>
      <c r="D123" s="19"/>
      <c r="E123" s="19"/>
      <c r="F123" s="19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</row>
    <row r="124" ht="15.75" customHeight="1">
      <c r="A124" s="4"/>
      <c r="B124" s="19"/>
      <c r="C124" s="19"/>
      <c r="D124" s="19"/>
      <c r="E124" s="19"/>
      <c r="F124" s="19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</row>
    <row r="125" ht="15.75" customHeight="1">
      <c r="A125" s="4"/>
      <c r="B125" s="19"/>
      <c r="C125" s="19"/>
      <c r="D125" s="19"/>
      <c r="E125" s="19"/>
      <c r="F125" s="19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</row>
    <row r="126" ht="15.75" customHeight="1">
      <c r="A126" s="4"/>
      <c r="B126" s="19"/>
      <c r="C126" s="19"/>
      <c r="D126" s="19"/>
      <c r="E126" s="19"/>
      <c r="F126" s="19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</row>
    <row r="127" ht="15.75" customHeight="1">
      <c r="A127" s="4"/>
      <c r="B127" s="19"/>
      <c r="C127" s="19"/>
      <c r="D127" s="19"/>
      <c r="E127" s="19"/>
      <c r="F127" s="19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</row>
    <row r="128" ht="15.75" customHeight="1">
      <c r="A128" s="4"/>
      <c r="B128" s="19"/>
      <c r="C128" s="19"/>
      <c r="D128" s="19"/>
      <c r="E128" s="19"/>
      <c r="F128" s="19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</row>
    <row r="129" ht="15.75" customHeight="1">
      <c r="A129" s="4"/>
      <c r="B129" s="19"/>
      <c r="C129" s="19"/>
      <c r="D129" s="19"/>
      <c r="E129" s="19"/>
      <c r="F129" s="19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</row>
    <row r="130" ht="15.75" customHeight="1">
      <c r="A130" s="4"/>
      <c r="B130" s="19"/>
      <c r="C130" s="19"/>
      <c r="D130" s="19"/>
      <c r="E130" s="19"/>
      <c r="F130" s="19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</row>
    <row r="131" ht="15.75" customHeight="1">
      <c r="A131" s="4"/>
      <c r="B131" s="19"/>
      <c r="C131" s="19"/>
      <c r="D131" s="19"/>
      <c r="E131" s="19"/>
      <c r="F131" s="19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</row>
    <row r="132" ht="15.75" customHeight="1">
      <c r="A132" s="4"/>
      <c r="B132" s="19"/>
      <c r="C132" s="19"/>
      <c r="D132" s="19"/>
      <c r="E132" s="19"/>
      <c r="F132" s="19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</row>
    <row r="133" ht="15.75" customHeight="1">
      <c r="A133" s="4"/>
      <c r="B133" s="19"/>
      <c r="C133" s="19"/>
      <c r="D133" s="19"/>
      <c r="E133" s="19"/>
      <c r="F133" s="19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</row>
    <row r="134" ht="15.75" customHeight="1">
      <c r="A134" s="4"/>
      <c r="B134" s="19"/>
      <c r="C134" s="19"/>
      <c r="D134" s="19"/>
      <c r="E134" s="19"/>
      <c r="F134" s="19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</row>
    <row r="135" ht="15.75" customHeight="1">
      <c r="A135" s="4"/>
      <c r="B135" s="19"/>
      <c r="C135" s="19"/>
      <c r="D135" s="19"/>
      <c r="E135" s="19"/>
      <c r="F135" s="19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</row>
    <row r="136" ht="15.75" customHeight="1">
      <c r="A136" s="4"/>
      <c r="B136" s="19"/>
      <c r="C136" s="19"/>
      <c r="D136" s="19"/>
      <c r="E136" s="19"/>
      <c r="F136" s="19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</row>
    <row r="137" ht="15.75" customHeight="1">
      <c r="A137" s="4"/>
      <c r="B137" s="19"/>
      <c r="C137" s="19"/>
      <c r="D137" s="19"/>
      <c r="E137" s="19"/>
      <c r="F137" s="19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</row>
    <row r="138" ht="15.75" customHeight="1">
      <c r="A138" s="4"/>
      <c r="B138" s="19"/>
      <c r="C138" s="19"/>
      <c r="D138" s="19"/>
      <c r="E138" s="19"/>
      <c r="F138" s="19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</row>
    <row r="139" ht="15.75" customHeight="1">
      <c r="A139" s="4"/>
      <c r="B139" s="19"/>
      <c r="C139" s="19"/>
      <c r="D139" s="19"/>
      <c r="E139" s="19"/>
      <c r="F139" s="19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</row>
    <row r="140" ht="15.75" customHeight="1">
      <c r="A140" s="4"/>
      <c r="B140" s="19"/>
      <c r="C140" s="19"/>
      <c r="D140" s="19"/>
      <c r="E140" s="19"/>
      <c r="F140" s="19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</row>
    <row r="141" ht="15.75" customHeight="1">
      <c r="A141" s="4"/>
      <c r="B141" s="19"/>
      <c r="C141" s="19"/>
      <c r="D141" s="19"/>
      <c r="E141" s="19"/>
      <c r="F141" s="19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</row>
    <row r="142" ht="15.75" customHeight="1">
      <c r="A142" s="4"/>
      <c r="B142" s="19"/>
      <c r="C142" s="19"/>
      <c r="D142" s="19"/>
      <c r="E142" s="19"/>
      <c r="F142" s="19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</row>
    <row r="143" ht="15.75" customHeight="1">
      <c r="A143" s="4"/>
      <c r="B143" s="19"/>
      <c r="C143" s="19"/>
      <c r="D143" s="19"/>
      <c r="E143" s="19"/>
      <c r="F143" s="19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</row>
    <row r="144" ht="15.75" customHeight="1">
      <c r="A144" s="4"/>
      <c r="B144" s="19"/>
      <c r="C144" s="19"/>
      <c r="D144" s="19"/>
      <c r="E144" s="19"/>
      <c r="F144" s="19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</row>
    <row r="145" ht="15.75" customHeight="1">
      <c r="A145" s="4"/>
      <c r="B145" s="19"/>
      <c r="C145" s="19"/>
      <c r="D145" s="19"/>
      <c r="E145" s="19"/>
      <c r="F145" s="19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</row>
    <row r="146" ht="15.75" customHeight="1">
      <c r="A146" s="4"/>
      <c r="B146" s="19"/>
      <c r="C146" s="19"/>
      <c r="D146" s="19"/>
      <c r="E146" s="19"/>
      <c r="F146" s="19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</row>
    <row r="147" ht="15.75" customHeight="1">
      <c r="A147" s="4"/>
      <c r="B147" s="19"/>
      <c r="C147" s="19"/>
      <c r="D147" s="19"/>
      <c r="E147" s="19"/>
      <c r="F147" s="19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</row>
    <row r="148" ht="15.75" customHeight="1">
      <c r="A148" s="4"/>
      <c r="B148" s="19"/>
      <c r="C148" s="19"/>
      <c r="D148" s="19"/>
      <c r="E148" s="19"/>
      <c r="F148" s="19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</row>
    <row r="149" ht="15.75" customHeight="1">
      <c r="A149" s="4"/>
      <c r="B149" s="19"/>
      <c r="C149" s="19"/>
      <c r="D149" s="19"/>
      <c r="E149" s="19"/>
      <c r="F149" s="19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</row>
    <row r="150" ht="15.75" customHeight="1">
      <c r="A150" s="4"/>
      <c r="B150" s="19"/>
      <c r="C150" s="19"/>
      <c r="D150" s="19"/>
      <c r="E150" s="19"/>
      <c r="F150" s="19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</row>
    <row r="151" ht="15.75" customHeight="1">
      <c r="A151" s="4"/>
      <c r="B151" s="19"/>
      <c r="C151" s="19"/>
      <c r="D151" s="19"/>
      <c r="E151" s="19"/>
      <c r="F151" s="19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</row>
    <row r="152" ht="15.75" customHeight="1">
      <c r="A152" s="4"/>
      <c r="B152" s="19"/>
      <c r="C152" s="19"/>
      <c r="D152" s="19"/>
      <c r="E152" s="19"/>
      <c r="F152" s="19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</row>
    <row r="153" ht="15.75" customHeight="1">
      <c r="A153" s="4"/>
      <c r="B153" s="19"/>
      <c r="C153" s="19"/>
      <c r="D153" s="19"/>
      <c r="E153" s="19"/>
      <c r="F153" s="19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</row>
    <row r="154" ht="15.75" customHeight="1">
      <c r="A154" s="4"/>
      <c r="B154" s="19"/>
      <c r="C154" s="19"/>
      <c r="D154" s="19"/>
      <c r="E154" s="19"/>
      <c r="F154" s="19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</row>
    <row r="155" ht="15.75" customHeight="1">
      <c r="A155" s="4"/>
      <c r="B155" s="19"/>
      <c r="C155" s="19"/>
      <c r="D155" s="19"/>
      <c r="E155" s="19"/>
      <c r="F155" s="19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</row>
    <row r="156" ht="15.75" customHeight="1">
      <c r="A156" s="4"/>
      <c r="B156" s="19"/>
      <c r="C156" s="19"/>
      <c r="D156" s="19"/>
      <c r="E156" s="19"/>
      <c r="F156" s="19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</row>
    <row r="157" ht="15.75" customHeight="1">
      <c r="A157" s="4"/>
      <c r="B157" s="19"/>
      <c r="C157" s="19"/>
      <c r="D157" s="19"/>
      <c r="E157" s="19"/>
      <c r="F157" s="19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</row>
    <row r="158" ht="15.75" customHeight="1">
      <c r="A158" s="4"/>
      <c r="B158" s="19"/>
      <c r="C158" s="19"/>
      <c r="D158" s="19"/>
      <c r="E158" s="19"/>
      <c r="F158" s="19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</row>
    <row r="159" ht="15.75" customHeight="1">
      <c r="A159" s="4"/>
      <c r="B159" s="19"/>
      <c r="C159" s="19"/>
      <c r="D159" s="19"/>
      <c r="E159" s="19"/>
      <c r="F159" s="19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</row>
    <row r="160" ht="15.75" customHeight="1">
      <c r="A160" s="4"/>
      <c r="B160" s="19"/>
      <c r="C160" s="19"/>
      <c r="D160" s="19"/>
      <c r="E160" s="19"/>
      <c r="F160" s="19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</row>
    <row r="161" ht="15.75" customHeight="1">
      <c r="A161" s="4"/>
      <c r="B161" s="19"/>
      <c r="C161" s="19"/>
      <c r="D161" s="19"/>
      <c r="E161" s="19"/>
      <c r="F161" s="19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</row>
    <row r="162" ht="15.75" customHeight="1">
      <c r="A162" s="4"/>
      <c r="B162" s="19"/>
      <c r="C162" s="19"/>
      <c r="D162" s="19"/>
      <c r="E162" s="19"/>
      <c r="F162" s="19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</row>
    <row r="163" ht="15.75" customHeight="1">
      <c r="A163" s="4"/>
      <c r="B163" s="19"/>
      <c r="C163" s="19"/>
      <c r="D163" s="19"/>
      <c r="E163" s="19"/>
      <c r="F163" s="19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</row>
    <row r="164" ht="15.75" customHeight="1">
      <c r="A164" s="4"/>
      <c r="B164" s="19"/>
      <c r="C164" s="19"/>
      <c r="D164" s="19"/>
      <c r="E164" s="19"/>
      <c r="F164" s="19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</row>
    <row r="165" ht="15.75" customHeight="1">
      <c r="A165" s="4"/>
      <c r="B165" s="19"/>
      <c r="C165" s="19"/>
      <c r="D165" s="19"/>
      <c r="E165" s="19"/>
      <c r="F165" s="19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</row>
    <row r="166" ht="15.75" customHeight="1">
      <c r="A166" s="4"/>
      <c r="B166" s="19"/>
      <c r="C166" s="19"/>
      <c r="D166" s="19"/>
      <c r="E166" s="19"/>
      <c r="F166" s="19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</row>
    <row r="167" ht="15.75" customHeight="1">
      <c r="A167" s="4"/>
      <c r="B167" s="19"/>
      <c r="C167" s="19"/>
      <c r="D167" s="19"/>
      <c r="E167" s="19"/>
      <c r="F167" s="19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</row>
    <row r="168" ht="15.75" customHeight="1">
      <c r="A168" s="4"/>
      <c r="B168" s="19"/>
      <c r="C168" s="19"/>
      <c r="D168" s="19"/>
      <c r="E168" s="19"/>
      <c r="F168" s="19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</row>
    <row r="169" ht="15.75" customHeight="1">
      <c r="A169" s="4"/>
      <c r="B169" s="19"/>
      <c r="C169" s="19"/>
      <c r="D169" s="19"/>
      <c r="E169" s="19"/>
      <c r="F169" s="19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</row>
    <row r="170" ht="15.75" customHeight="1">
      <c r="A170" s="4"/>
      <c r="B170" s="19"/>
      <c r="C170" s="19"/>
      <c r="D170" s="19"/>
      <c r="E170" s="19"/>
      <c r="F170" s="19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</row>
    <row r="171" ht="15.75" customHeight="1">
      <c r="A171" s="4"/>
      <c r="B171" s="19"/>
      <c r="C171" s="19"/>
      <c r="D171" s="19"/>
      <c r="E171" s="19"/>
      <c r="F171" s="19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</row>
    <row r="172" ht="15.75" customHeight="1">
      <c r="A172" s="4"/>
      <c r="B172" s="19"/>
      <c r="C172" s="19"/>
      <c r="D172" s="19"/>
      <c r="E172" s="19"/>
      <c r="F172" s="19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</row>
    <row r="173" ht="15.75" customHeight="1">
      <c r="A173" s="4"/>
      <c r="B173" s="19"/>
      <c r="C173" s="19"/>
      <c r="D173" s="19"/>
      <c r="E173" s="19"/>
      <c r="F173" s="19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</row>
    <row r="174" ht="15.75" customHeight="1">
      <c r="A174" s="4"/>
      <c r="B174" s="19"/>
      <c r="C174" s="19"/>
      <c r="D174" s="19"/>
      <c r="E174" s="19"/>
      <c r="F174" s="19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</row>
    <row r="175" ht="15.75" customHeight="1">
      <c r="A175" s="4"/>
      <c r="B175" s="19"/>
      <c r="C175" s="19"/>
      <c r="D175" s="19"/>
      <c r="E175" s="19"/>
      <c r="F175" s="19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</row>
    <row r="176" ht="15.75" customHeight="1">
      <c r="A176" s="4"/>
      <c r="B176" s="19"/>
      <c r="C176" s="19"/>
      <c r="D176" s="19"/>
      <c r="E176" s="19"/>
      <c r="F176" s="19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</row>
    <row r="177" ht="15.75" customHeight="1">
      <c r="A177" s="4"/>
      <c r="B177" s="19"/>
      <c r="C177" s="19"/>
      <c r="D177" s="19"/>
      <c r="E177" s="19"/>
      <c r="F177" s="19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</row>
    <row r="178" ht="15.75" customHeight="1">
      <c r="A178" s="4"/>
      <c r="B178" s="19"/>
      <c r="C178" s="19"/>
      <c r="D178" s="19"/>
      <c r="E178" s="19"/>
      <c r="F178" s="19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</row>
    <row r="179" ht="15.75" customHeight="1">
      <c r="A179" s="4"/>
      <c r="B179" s="19"/>
      <c r="C179" s="19"/>
      <c r="D179" s="19"/>
      <c r="E179" s="19"/>
      <c r="F179" s="19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</row>
    <row r="180" ht="15.75" customHeight="1">
      <c r="A180" s="4"/>
      <c r="B180" s="19"/>
      <c r="C180" s="19"/>
      <c r="D180" s="19"/>
      <c r="E180" s="19"/>
      <c r="F180" s="19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</row>
    <row r="181" ht="15.75" customHeight="1">
      <c r="A181" s="4"/>
      <c r="B181" s="19"/>
      <c r="C181" s="19"/>
      <c r="D181" s="19"/>
      <c r="E181" s="19"/>
      <c r="F181" s="19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</row>
    <row r="182" ht="15.75" customHeight="1">
      <c r="A182" s="4"/>
      <c r="B182" s="19"/>
      <c r="C182" s="19"/>
      <c r="D182" s="19"/>
      <c r="E182" s="19"/>
      <c r="F182" s="19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</row>
    <row r="183" ht="15.75" customHeight="1">
      <c r="A183" s="4"/>
      <c r="B183" s="19"/>
      <c r="C183" s="19"/>
      <c r="D183" s="19"/>
      <c r="E183" s="19"/>
      <c r="F183" s="19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</row>
    <row r="184" ht="15.75" customHeight="1">
      <c r="A184" s="4"/>
      <c r="B184" s="19"/>
      <c r="C184" s="19"/>
      <c r="D184" s="19"/>
      <c r="E184" s="19"/>
      <c r="F184" s="19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</row>
    <row r="185" ht="15.75" customHeight="1">
      <c r="A185" s="4"/>
      <c r="B185" s="19"/>
      <c r="C185" s="19"/>
      <c r="D185" s="19"/>
      <c r="E185" s="19"/>
      <c r="F185" s="19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</row>
    <row r="186" ht="15.75" customHeight="1">
      <c r="A186" s="4"/>
      <c r="B186" s="19"/>
      <c r="C186" s="19"/>
      <c r="D186" s="19"/>
      <c r="E186" s="19"/>
      <c r="F186" s="19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</row>
    <row r="187" ht="15.75" customHeight="1">
      <c r="A187" s="4"/>
      <c r="B187" s="19"/>
      <c r="C187" s="19"/>
      <c r="D187" s="19"/>
      <c r="E187" s="19"/>
      <c r="F187" s="19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</row>
    <row r="188" ht="15.75" customHeight="1">
      <c r="A188" s="4"/>
      <c r="B188" s="19"/>
      <c r="C188" s="19"/>
      <c r="D188" s="19"/>
      <c r="E188" s="19"/>
      <c r="F188" s="19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</row>
    <row r="189" ht="15.75" customHeight="1">
      <c r="A189" s="4"/>
      <c r="B189" s="19"/>
      <c r="C189" s="19"/>
      <c r="D189" s="19"/>
      <c r="E189" s="19"/>
      <c r="F189" s="19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</row>
    <row r="190" ht="15.75" customHeight="1">
      <c r="A190" s="4"/>
      <c r="B190" s="19"/>
      <c r="C190" s="19"/>
      <c r="D190" s="19"/>
      <c r="E190" s="19"/>
      <c r="F190" s="19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</row>
    <row r="191" ht="15.75" customHeight="1">
      <c r="A191" s="4"/>
      <c r="B191" s="19"/>
      <c r="C191" s="19"/>
      <c r="D191" s="19"/>
      <c r="E191" s="19"/>
      <c r="F191" s="19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</row>
    <row r="192" ht="15.75" customHeight="1">
      <c r="A192" s="4"/>
      <c r="B192" s="19"/>
      <c r="C192" s="19"/>
      <c r="D192" s="19"/>
      <c r="E192" s="19"/>
      <c r="F192" s="19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</row>
    <row r="193" ht="15.75" customHeight="1">
      <c r="A193" s="4"/>
      <c r="B193" s="19"/>
      <c r="C193" s="19"/>
      <c r="D193" s="19"/>
      <c r="E193" s="19"/>
      <c r="F193" s="19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</row>
    <row r="194" ht="15.75" customHeight="1">
      <c r="A194" s="4"/>
      <c r="B194" s="19"/>
      <c r="C194" s="19"/>
      <c r="D194" s="19"/>
      <c r="E194" s="19"/>
      <c r="F194" s="19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</row>
    <row r="195" ht="15.75" customHeight="1">
      <c r="A195" s="4"/>
      <c r="B195" s="19"/>
      <c r="C195" s="19"/>
      <c r="D195" s="19"/>
      <c r="E195" s="19"/>
      <c r="F195" s="19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</row>
    <row r="196" ht="15.75" customHeight="1">
      <c r="A196" s="4"/>
      <c r="B196" s="19"/>
      <c r="C196" s="19"/>
      <c r="D196" s="19"/>
      <c r="E196" s="19"/>
      <c r="F196" s="19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</row>
    <row r="197" ht="15.75" customHeight="1">
      <c r="A197" s="4"/>
      <c r="B197" s="19"/>
      <c r="C197" s="19"/>
      <c r="D197" s="19"/>
      <c r="E197" s="19"/>
      <c r="F197" s="19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</row>
    <row r="198" ht="15.75" customHeight="1">
      <c r="A198" s="4"/>
      <c r="B198" s="19"/>
      <c r="C198" s="19"/>
      <c r="D198" s="19"/>
      <c r="E198" s="19"/>
      <c r="F198" s="19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</row>
    <row r="199" ht="15.75" customHeight="1">
      <c r="A199" s="4"/>
      <c r="B199" s="19"/>
      <c r="C199" s="19"/>
      <c r="D199" s="19"/>
      <c r="E199" s="19"/>
      <c r="F199" s="19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</row>
    <row r="200" ht="15.75" customHeight="1">
      <c r="A200" s="4"/>
      <c r="B200" s="19"/>
      <c r="C200" s="19"/>
      <c r="D200" s="19"/>
      <c r="E200" s="19"/>
      <c r="F200" s="19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</row>
    <row r="201" ht="15.75" customHeight="1">
      <c r="A201" s="4"/>
      <c r="B201" s="19"/>
      <c r="C201" s="19"/>
      <c r="D201" s="19"/>
      <c r="E201" s="19"/>
      <c r="F201" s="19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</row>
    <row r="202" ht="15.75" customHeight="1">
      <c r="A202" s="4"/>
      <c r="B202" s="19"/>
      <c r="C202" s="19"/>
      <c r="D202" s="19"/>
      <c r="E202" s="19"/>
      <c r="F202" s="19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</row>
    <row r="203" ht="15.75" customHeight="1">
      <c r="A203" s="4"/>
      <c r="B203" s="19"/>
      <c r="C203" s="19"/>
      <c r="D203" s="19"/>
      <c r="E203" s="19"/>
      <c r="F203" s="19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</row>
    <row r="204" ht="15.75" customHeight="1">
      <c r="A204" s="4"/>
      <c r="B204" s="19"/>
      <c r="C204" s="19"/>
      <c r="D204" s="19"/>
      <c r="E204" s="19"/>
      <c r="F204" s="19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</row>
    <row r="205" ht="15.75" customHeight="1">
      <c r="A205" s="4"/>
      <c r="B205" s="19"/>
      <c r="C205" s="19"/>
      <c r="D205" s="19"/>
      <c r="E205" s="19"/>
      <c r="F205" s="19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</row>
    <row r="206" ht="15.75" customHeight="1">
      <c r="A206" s="4"/>
      <c r="B206" s="19"/>
      <c r="C206" s="19"/>
      <c r="D206" s="19"/>
      <c r="E206" s="19"/>
      <c r="F206" s="19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</row>
    <row r="207" ht="15.75" customHeight="1">
      <c r="A207" s="4"/>
      <c r="B207" s="19"/>
      <c r="C207" s="19"/>
      <c r="D207" s="19"/>
      <c r="E207" s="19"/>
      <c r="F207" s="19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</row>
    <row r="208" ht="15.75" customHeight="1">
      <c r="A208" s="4"/>
      <c r="B208" s="19"/>
      <c r="C208" s="19"/>
      <c r="D208" s="19"/>
      <c r="E208" s="19"/>
      <c r="F208" s="19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</row>
    <row r="209" ht="15.75" customHeight="1">
      <c r="A209" s="4"/>
      <c r="B209" s="19"/>
      <c r="C209" s="19"/>
      <c r="D209" s="19"/>
      <c r="E209" s="19"/>
      <c r="F209" s="19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</row>
    <row r="210" ht="15.75" customHeight="1">
      <c r="A210" s="4"/>
      <c r="B210" s="19"/>
      <c r="C210" s="19"/>
      <c r="D210" s="19"/>
      <c r="E210" s="19"/>
      <c r="F210" s="19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</row>
    <row r="211" ht="15.75" customHeight="1">
      <c r="A211" s="4"/>
      <c r="B211" s="19"/>
      <c r="C211" s="19"/>
      <c r="D211" s="19"/>
      <c r="E211" s="19"/>
      <c r="F211" s="19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</row>
    <row r="212" ht="15.75" customHeight="1">
      <c r="A212" s="4"/>
      <c r="B212" s="19"/>
      <c r="C212" s="19"/>
      <c r="D212" s="19"/>
      <c r="E212" s="19"/>
      <c r="F212" s="19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</row>
    <row r="213" ht="15.75" customHeight="1">
      <c r="A213" s="4"/>
      <c r="B213" s="19"/>
      <c r="C213" s="19"/>
      <c r="D213" s="19"/>
      <c r="E213" s="19"/>
      <c r="F213" s="19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</row>
    <row r="214" ht="15.75" customHeight="1">
      <c r="A214" s="4"/>
      <c r="B214" s="19"/>
      <c r="C214" s="19"/>
      <c r="D214" s="19"/>
      <c r="E214" s="19"/>
      <c r="F214" s="19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</row>
    <row r="215" ht="15.75" customHeight="1">
      <c r="A215" s="4"/>
      <c r="B215" s="19"/>
      <c r="C215" s="19"/>
      <c r="D215" s="19"/>
      <c r="E215" s="19"/>
      <c r="F215" s="19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</row>
    <row r="216" ht="15.75" customHeight="1">
      <c r="A216" s="4"/>
      <c r="B216" s="19"/>
      <c r="C216" s="19"/>
      <c r="D216" s="19"/>
      <c r="E216" s="19"/>
      <c r="F216" s="19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</row>
    <row r="217" ht="15.75" customHeight="1">
      <c r="A217" s="4"/>
      <c r="B217" s="19"/>
      <c r="C217" s="19"/>
      <c r="D217" s="19"/>
      <c r="E217" s="19"/>
      <c r="F217" s="19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</row>
    <row r="218" ht="15.75" customHeight="1">
      <c r="A218" s="4"/>
      <c r="B218" s="19"/>
      <c r="C218" s="19"/>
      <c r="D218" s="19"/>
      <c r="E218" s="19"/>
      <c r="F218" s="19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</row>
    <row r="219" ht="15.75" customHeight="1">
      <c r="A219" s="4"/>
      <c r="B219" s="19"/>
      <c r="C219" s="19"/>
      <c r="D219" s="19"/>
      <c r="E219" s="19"/>
      <c r="F219" s="19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</row>
    <row r="220" ht="15.75" customHeight="1">
      <c r="A220" s="4"/>
      <c r="B220" s="19"/>
      <c r="C220" s="19"/>
      <c r="D220" s="19"/>
      <c r="E220" s="19"/>
      <c r="F220" s="19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</row>
    <row r="222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34.0"/>
    <col customWidth="1" min="2" max="3" width="16.0"/>
    <col customWidth="1" min="4" max="4" width="46.0"/>
    <col customWidth="1" min="5" max="7" width="16.0"/>
    <col customWidth="1" min="8" max="26" width="8.71"/>
  </cols>
  <sheetData>
    <row r="1" ht="17.25" customHeight="1">
      <c r="A1" s="1" t="s">
        <v>69</v>
      </c>
      <c r="B1" s="2"/>
      <c r="C1" s="2"/>
      <c r="D1" s="2"/>
      <c r="E1" s="2"/>
      <c r="F1" s="2"/>
      <c r="G1" s="2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9.75" customHeight="1">
      <c r="A2" s="5" t="s">
        <v>70</v>
      </c>
      <c r="B2" s="2"/>
      <c r="C2" s="2"/>
      <c r="D2" s="2"/>
      <c r="E2" s="2"/>
      <c r="F2" s="2"/>
      <c r="G2" s="2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7.25" customHeight="1">
      <c r="A3" s="6"/>
      <c r="B3" s="7"/>
      <c r="C3" s="7"/>
      <c r="D3" s="7"/>
      <c r="E3" s="7"/>
      <c r="F3" s="7"/>
      <c r="G3" s="7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7.25" customHeight="1">
      <c r="A4" s="3" t="s">
        <v>71</v>
      </c>
      <c r="B4" s="2" t="s">
        <v>72</v>
      </c>
      <c r="C4" s="2" t="s">
        <v>73</v>
      </c>
      <c r="D4" s="2" t="s">
        <v>74</v>
      </c>
      <c r="E4" s="2" t="s">
        <v>75</v>
      </c>
      <c r="F4" s="2" t="s">
        <v>76</v>
      </c>
      <c r="G4" s="2" t="s">
        <v>77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7.25" customHeight="1">
      <c r="A5" s="3" t="s">
        <v>78</v>
      </c>
      <c r="B5" s="2" t="s">
        <v>79</v>
      </c>
      <c r="C5" s="2" t="s">
        <v>80</v>
      </c>
      <c r="D5" s="2" t="s">
        <v>81</v>
      </c>
      <c r="E5" s="8">
        <v>1.01</v>
      </c>
      <c r="F5" s="8">
        <v>5.38</v>
      </c>
      <c r="G5" s="8">
        <v>9.34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7.25" customHeight="1">
      <c r="A6" s="3" t="s">
        <v>82</v>
      </c>
      <c r="B6" s="2" t="s">
        <v>83</v>
      </c>
      <c r="C6" s="2" t="s">
        <v>84</v>
      </c>
      <c r="D6" s="2" t="s">
        <v>85</v>
      </c>
      <c r="E6" s="8">
        <v>0.46</v>
      </c>
      <c r="F6" s="8">
        <v>6.8</v>
      </c>
      <c r="G6" s="8">
        <v>23.48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7.25" customHeight="1">
      <c r="A7" s="3" t="s">
        <v>86</v>
      </c>
      <c r="B7" s="2" t="s">
        <v>87</v>
      </c>
      <c r="C7" s="2" t="s">
        <v>88</v>
      </c>
      <c r="D7" s="2" t="s">
        <v>89</v>
      </c>
      <c r="E7" s="8">
        <v>0.97</v>
      </c>
      <c r="F7" s="8">
        <v>6.89</v>
      </c>
      <c r="G7" s="8">
        <v>12.18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7.25" customHeight="1">
      <c r="A8" s="3" t="s">
        <v>90</v>
      </c>
      <c r="B8" s="2" t="s">
        <v>91</v>
      </c>
      <c r="C8" s="2" t="s">
        <v>92</v>
      </c>
      <c r="D8" s="2" t="s">
        <v>93</v>
      </c>
      <c r="E8" s="8">
        <v>1.18</v>
      </c>
      <c r="F8" s="8">
        <v>4.96</v>
      </c>
      <c r="G8" s="8">
        <v>7.78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7.25" customHeight="1">
      <c r="A9" s="3" t="s">
        <v>94</v>
      </c>
      <c r="B9" s="2" t="s">
        <v>95</v>
      </c>
      <c r="C9" s="2" t="s">
        <v>80</v>
      </c>
      <c r="D9" s="2" t="s">
        <v>96</v>
      </c>
      <c r="E9" s="8">
        <v>1.22</v>
      </c>
      <c r="F9" s="8">
        <v>6.53</v>
      </c>
      <c r="G9" s="8">
        <v>9.6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7.25" customHeight="1">
      <c r="A10" s="3" t="s">
        <v>97</v>
      </c>
      <c r="B10" s="2" t="s">
        <v>98</v>
      </c>
      <c r="C10" s="2" t="s">
        <v>99</v>
      </c>
      <c r="D10" s="2" t="s">
        <v>100</v>
      </c>
      <c r="E10" s="8">
        <v>0.61</v>
      </c>
      <c r="F10" s="8">
        <v>4.03</v>
      </c>
      <c r="G10" s="8">
        <v>7.07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7.25" customHeight="1">
      <c r="A11" s="6"/>
      <c r="B11" s="7"/>
      <c r="C11" s="7"/>
      <c r="D11" s="7"/>
      <c r="E11" s="7"/>
      <c r="F11" s="7"/>
      <c r="G11" s="7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7.25" customHeight="1">
      <c r="A12" s="3" t="s">
        <v>101</v>
      </c>
      <c r="B12" s="2" t="s">
        <v>102</v>
      </c>
      <c r="C12" s="2" t="s">
        <v>103</v>
      </c>
      <c r="D12" s="2" t="s">
        <v>104</v>
      </c>
      <c r="E12" s="2" t="s">
        <v>105</v>
      </c>
      <c r="F12" s="2" t="s">
        <v>106</v>
      </c>
      <c r="G12" s="2" t="s">
        <v>107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7.25" customHeight="1">
      <c r="A13" s="3" t="s">
        <v>108</v>
      </c>
      <c r="B13" s="8">
        <f>QUARTILE(E5:E10, 1)</f>
        <v>0.7</v>
      </c>
      <c r="C13" s="8">
        <f>MEDIAN(E5:E10)</f>
        <v>0.99</v>
      </c>
      <c r="D13" s="8">
        <f>QUARTILE(E5:E10, 3)</f>
        <v>1.1375</v>
      </c>
      <c r="E13" s="17">
        <f>(B13*Forecast!$B$4-WACC!$B$8)/WACC!$B$6</f>
        <v>23.5453483</v>
      </c>
      <c r="F13" s="17">
        <f>(C13*Forecast!$B$4-WACC!$B$8)/WACC!$B$6</f>
        <v>34.71863643</v>
      </c>
      <c r="G13" s="17">
        <f>(D13*Forecast!$B$4-WACC!$B$8)/WACC!$B$6</f>
        <v>40.40160194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7.25" customHeight="1">
      <c r="A14" s="3" t="s">
        <v>109</v>
      </c>
      <c r="B14" s="8">
        <f>QUARTILE(F5:F10, 1)</f>
        <v>5.065</v>
      </c>
      <c r="C14" s="8">
        <f>MEDIAN(F5:F10)</f>
        <v>5.955</v>
      </c>
      <c r="D14" s="8">
        <f>QUARTILE(F5:F10, 3)</f>
        <v>6.7325</v>
      </c>
      <c r="E14" s="17">
        <f>(B14*Forecast!$B$7-WACC!$B$8)/WACC!$B$6</f>
        <v>31.70184863</v>
      </c>
      <c r="F14" s="17">
        <f>(C14*Forecast!$B$7-WACC!$B$8)/WACC!$B$6</f>
        <v>37.87412711</v>
      </c>
      <c r="G14" s="17">
        <f>(D14*Forecast!$B$7-WACC!$B$8)/WACC!$B$6</f>
        <v>43.26620185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7.25" customHeight="1">
      <c r="A15" s="3" t="s">
        <v>110</v>
      </c>
      <c r="B15" s="8">
        <f>QUARTILE(G5:G10, 1)</f>
        <v>8.17</v>
      </c>
      <c r="C15" s="8">
        <f>MEDIAN(G5:G10)</f>
        <v>9.47</v>
      </c>
      <c r="D15" s="8">
        <f>QUARTILE(G5:G10, 3)</f>
        <v>11.535</v>
      </c>
      <c r="E15" s="8">
        <f>(B15*Forecast!$B$9-WACC!$B$8)/WACC!$B$6</f>
        <v>30.25664161</v>
      </c>
      <c r="F15" s="8">
        <f>(C15*Forecast!$B$9-WACC!$B$8)/WACC!$B$6</f>
        <v>35.61596705</v>
      </c>
      <c r="G15" s="8">
        <f>(D15*Forecast!$B$9-WACC!$B$8)/WACC!$B$6</f>
        <v>44.12904939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4"/>
      <c r="B16" s="20"/>
      <c r="C16" s="20"/>
      <c r="D16" s="20"/>
      <c r="E16" s="20"/>
      <c r="F16" s="20"/>
      <c r="G16" s="2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5.75" customHeight="1">
      <c r="A17" s="4"/>
      <c r="B17" s="20"/>
      <c r="C17" s="20"/>
      <c r="D17" s="20"/>
      <c r="E17" s="20"/>
      <c r="F17" s="20"/>
      <c r="G17" s="2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5.75" customHeight="1">
      <c r="A18" s="4"/>
      <c r="B18" s="20"/>
      <c r="C18" s="20"/>
      <c r="D18" s="20"/>
      <c r="E18" s="20"/>
      <c r="F18" s="20"/>
      <c r="G18" s="2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5.75" customHeight="1">
      <c r="A19" s="4"/>
      <c r="B19" s="20"/>
      <c r="C19" s="20"/>
      <c r="D19" s="20"/>
      <c r="E19" s="20"/>
      <c r="F19" s="20"/>
      <c r="G19" s="2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5.75" customHeight="1">
      <c r="A20" s="4"/>
      <c r="B20" s="20"/>
      <c r="C20" s="20"/>
      <c r="D20" s="20"/>
      <c r="E20" s="20"/>
      <c r="F20" s="20"/>
      <c r="G20" s="2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5.75" customHeight="1">
      <c r="A21" s="4"/>
      <c r="B21" s="20"/>
      <c r="C21" s="20"/>
      <c r="D21" s="20"/>
      <c r="E21" s="20"/>
      <c r="F21" s="20"/>
      <c r="G21" s="2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5.75" customHeight="1">
      <c r="A22" s="4"/>
      <c r="B22" s="20"/>
      <c r="C22" s="20"/>
      <c r="D22" s="20"/>
      <c r="E22" s="20"/>
      <c r="F22" s="20"/>
      <c r="G22" s="2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5.75" customHeight="1">
      <c r="A23" s="4"/>
      <c r="B23" s="20"/>
      <c r="C23" s="20"/>
      <c r="D23" s="20"/>
      <c r="E23" s="20"/>
      <c r="F23" s="20"/>
      <c r="G23" s="2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5.75" customHeight="1">
      <c r="A24" s="4"/>
      <c r="B24" s="20"/>
      <c r="C24" s="20"/>
      <c r="D24" s="20"/>
      <c r="E24" s="20"/>
      <c r="F24" s="20"/>
      <c r="G24" s="2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5.75" customHeight="1">
      <c r="A25" s="4"/>
      <c r="B25" s="20"/>
      <c r="C25" s="20"/>
      <c r="D25" s="20"/>
      <c r="E25" s="20"/>
      <c r="F25" s="20"/>
      <c r="G25" s="2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5.75" customHeight="1">
      <c r="A26" s="4"/>
      <c r="B26" s="20"/>
      <c r="C26" s="20"/>
      <c r="D26" s="20"/>
      <c r="E26" s="20"/>
      <c r="F26" s="20"/>
      <c r="G26" s="2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5.75" customHeight="1">
      <c r="A27" s="4"/>
      <c r="B27" s="20"/>
      <c r="C27" s="20"/>
      <c r="D27" s="20"/>
      <c r="E27" s="20"/>
      <c r="F27" s="20"/>
      <c r="G27" s="2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5.75" customHeight="1">
      <c r="A28" s="4"/>
      <c r="B28" s="20"/>
      <c r="C28" s="20"/>
      <c r="D28" s="20"/>
      <c r="E28" s="20"/>
      <c r="F28" s="20"/>
      <c r="G28" s="2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5.75" customHeight="1">
      <c r="A29" s="4"/>
      <c r="B29" s="20"/>
      <c r="C29" s="20"/>
      <c r="D29" s="20"/>
      <c r="E29" s="20"/>
      <c r="F29" s="20"/>
      <c r="G29" s="2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5.75" customHeight="1">
      <c r="A30" s="4"/>
      <c r="B30" s="20"/>
      <c r="C30" s="20"/>
      <c r="D30" s="20"/>
      <c r="E30" s="20"/>
      <c r="F30" s="20"/>
      <c r="G30" s="2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5.75" customHeight="1">
      <c r="A31" s="4"/>
      <c r="B31" s="20"/>
      <c r="C31" s="20"/>
      <c r="D31" s="20"/>
      <c r="E31" s="20"/>
      <c r="F31" s="20"/>
      <c r="G31" s="2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5.75" customHeight="1">
      <c r="A32" s="4"/>
      <c r="B32" s="20"/>
      <c r="C32" s="20"/>
      <c r="D32" s="20"/>
      <c r="E32" s="20"/>
      <c r="F32" s="20"/>
      <c r="G32" s="2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5.75" customHeight="1">
      <c r="A33" s="4"/>
      <c r="B33" s="20"/>
      <c r="C33" s="20"/>
      <c r="D33" s="20"/>
      <c r="E33" s="20"/>
      <c r="F33" s="20"/>
      <c r="G33" s="2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5.75" customHeight="1">
      <c r="A34" s="4"/>
      <c r="B34" s="20"/>
      <c r="C34" s="20"/>
      <c r="D34" s="20"/>
      <c r="E34" s="20"/>
      <c r="F34" s="20"/>
      <c r="G34" s="2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5.75" customHeight="1">
      <c r="A35" s="4"/>
      <c r="B35" s="20"/>
      <c r="C35" s="20"/>
      <c r="D35" s="20"/>
      <c r="E35" s="20"/>
      <c r="F35" s="20"/>
      <c r="G35" s="2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5.75" customHeight="1">
      <c r="A36" s="4"/>
      <c r="B36" s="20"/>
      <c r="C36" s="20"/>
      <c r="D36" s="20"/>
      <c r="E36" s="20"/>
      <c r="F36" s="20"/>
      <c r="G36" s="2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5.75" customHeight="1">
      <c r="A37" s="4"/>
      <c r="B37" s="20"/>
      <c r="C37" s="20"/>
      <c r="D37" s="20"/>
      <c r="E37" s="20"/>
      <c r="F37" s="20"/>
      <c r="G37" s="2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5.75" customHeight="1">
      <c r="A38" s="4"/>
      <c r="B38" s="20"/>
      <c r="C38" s="20"/>
      <c r="D38" s="20"/>
      <c r="E38" s="20"/>
      <c r="F38" s="20"/>
      <c r="G38" s="2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5.75" customHeight="1">
      <c r="A39" s="4"/>
      <c r="B39" s="20"/>
      <c r="C39" s="20"/>
      <c r="D39" s="20"/>
      <c r="E39" s="20"/>
      <c r="F39" s="20"/>
      <c r="G39" s="2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5.75" customHeight="1">
      <c r="A40" s="4"/>
      <c r="B40" s="20"/>
      <c r="C40" s="20"/>
      <c r="D40" s="20"/>
      <c r="E40" s="20"/>
      <c r="F40" s="20"/>
      <c r="G40" s="2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5.75" customHeight="1">
      <c r="A41" s="4"/>
      <c r="B41" s="20"/>
      <c r="C41" s="20"/>
      <c r="D41" s="20"/>
      <c r="E41" s="20"/>
      <c r="F41" s="20"/>
      <c r="G41" s="2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5.75" customHeight="1">
      <c r="A42" s="4"/>
      <c r="B42" s="20"/>
      <c r="C42" s="20"/>
      <c r="D42" s="20"/>
      <c r="E42" s="20"/>
      <c r="F42" s="20"/>
      <c r="G42" s="2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5.75" customHeight="1">
      <c r="A43" s="4"/>
      <c r="B43" s="20"/>
      <c r="C43" s="20"/>
      <c r="D43" s="20"/>
      <c r="E43" s="20"/>
      <c r="F43" s="20"/>
      <c r="G43" s="2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5.75" customHeight="1">
      <c r="A44" s="4"/>
      <c r="B44" s="20"/>
      <c r="C44" s="20"/>
      <c r="D44" s="20"/>
      <c r="E44" s="20"/>
      <c r="F44" s="20"/>
      <c r="G44" s="2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5.75" customHeight="1">
      <c r="A45" s="4"/>
      <c r="B45" s="20"/>
      <c r="C45" s="20"/>
      <c r="D45" s="20"/>
      <c r="E45" s="20"/>
      <c r="F45" s="20"/>
      <c r="G45" s="2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5.75" customHeight="1">
      <c r="A46" s="4"/>
      <c r="B46" s="20"/>
      <c r="C46" s="20"/>
      <c r="D46" s="20"/>
      <c r="E46" s="20"/>
      <c r="F46" s="20"/>
      <c r="G46" s="2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5.75" customHeight="1">
      <c r="A47" s="4"/>
      <c r="B47" s="20"/>
      <c r="C47" s="20"/>
      <c r="D47" s="20"/>
      <c r="E47" s="20"/>
      <c r="F47" s="20"/>
      <c r="G47" s="2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5.75" customHeight="1">
      <c r="A48" s="4"/>
      <c r="B48" s="20"/>
      <c r="C48" s="20"/>
      <c r="D48" s="20"/>
      <c r="E48" s="20"/>
      <c r="F48" s="20"/>
      <c r="G48" s="2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5.75" customHeight="1">
      <c r="A49" s="4"/>
      <c r="B49" s="20"/>
      <c r="C49" s="20"/>
      <c r="D49" s="20"/>
      <c r="E49" s="20"/>
      <c r="F49" s="20"/>
      <c r="G49" s="2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5.75" customHeight="1">
      <c r="A50" s="4"/>
      <c r="B50" s="20"/>
      <c r="C50" s="20"/>
      <c r="D50" s="20"/>
      <c r="E50" s="20"/>
      <c r="F50" s="20"/>
      <c r="G50" s="2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5.75" customHeight="1">
      <c r="A51" s="4"/>
      <c r="B51" s="20"/>
      <c r="C51" s="20"/>
      <c r="D51" s="20"/>
      <c r="E51" s="20"/>
      <c r="F51" s="20"/>
      <c r="G51" s="2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5.75" customHeight="1">
      <c r="A52" s="4"/>
      <c r="B52" s="20"/>
      <c r="C52" s="20"/>
      <c r="D52" s="20"/>
      <c r="E52" s="20"/>
      <c r="F52" s="20"/>
      <c r="G52" s="2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5.75" customHeight="1">
      <c r="A53" s="4"/>
      <c r="B53" s="20"/>
      <c r="C53" s="20"/>
      <c r="D53" s="20"/>
      <c r="E53" s="20"/>
      <c r="F53" s="20"/>
      <c r="G53" s="2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5.75" customHeight="1">
      <c r="A54" s="4"/>
      <c r="B54" s="20"/>
      <c r="C54" s="20"/>
      <c r="D54" s="20"/>
      <c r="E54" s="20"/>
      <c r="F54" s="20"/>
      <c r="G54" s="2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5.75" customHeight="1">
      <c r="A55" s="4"/>
      <c r="B55" s="20"/>
      <c r="C55" s="20"/>
      <c r="D55" s="20"/>
      <c r="E55" s="20"/>
      <c r="F55" s="20"/>
      <c r="G55" s="2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5.75" customHeight="1">
      <c r="A56" s="4"/>
      <c r="B56" s="20"/>
      <c r="C56" s="20"/>
      <c r="D56" s="20"/>
      <c r="E56" s="20"/>
      <c r="F56" s="20"/>
      <c r="G56" s="2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5.75" customHeight="1">
      <c r="A57" s="4"/>
      <c r="B57" s="20"/>
      <c r="C57" s="20"/>
      <c r="D57" s="20"/>
      <c r="E57" s="20"/>
      <c r="F57" s="20"/>
      <c r="G57" s="2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5.75" customHeight="1">
      <c r="A58" s="4"/>
      <c r="B58" s="20"/>
      <c r="C58" s="20"/>
      <c r="D58" s="20"/>
      <c r="E58" s="20"/>
      <c r="F58" s="20"/>
      <c r="G58" s="2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5.75" customHeight="1">
      <c r="A59" s="4"/>
      <c r="B59" s="20"/>
      <c r="C59" s="20"/>
      <c r="D59" s="20"/>
      <c r="E59" s="20"/>
      <c r="F59" s="20"/>
      <c r="G59" s="2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5.75" customHeight="1">
      <c r="A60" s="4"/>
      <c r="B60" s="20"/>
      <c r="C60" s="20"/>
      <c r="D60" s="20"/>
      <c r="E60" s="20"/>
      <c r="F60" s="20"/>
      <c r="G60" s="2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5.75" customHeight="1">
      <c r="A61" s="4"/>
      <c r="B61" s="20"/>
      <c r="C61" s="20"/>
      <c r="D61" s="20"/>
      <c r="E61" s="20"/>
      <c r="F61" s="20"/>
      <c r="G61" s="2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5.75" customHeight="1">
      <c r="A62" s="4"/>
      <c r="B62" s="20"/>
      <c r="C62" s="20"/>
      <c r="D62" s="20"/>
      <c r="E62" s="20"/>
      <c r="F62" s="20"/>
      <c r="G62" s="2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5.75" customHeight="1">
      <c r="A63" s="4"/>
      <c r="B63" s="20"/>
      <c r="C63" s="20"/>
      <c r="D63" s="20"/>
      <c r="E63" s="20"/>
      <c r="F63" s="20"/>
      <c r="G63" s="2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5.75" customHeight="1">
      <c r="A64" s="4"/>
      <c r="B64" s="20"/>
      <c r="C64" s="20"/>
      <c r="D64" s="20"/>
      <c r="E64" s="20"/>
      <c r="F64" s="20"/>
      <c r="G64" s="2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5.75" customHeight="1">
      <c r="A65" s="4"/>
      <c r="B65" s="20"/>
      <c r="C65" s="20"/>
      <c r="D65" s="20"/>
      <c r="E65" s="20"/>
      <c r="F65" s="20"/>
      <c r="G65" s="2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5.75" customHeight="1">
      <c r="A66" s="4"/>
      <c r="B66" s="20"/>
      <c r="C66" s="20"/>
      <c r="D66" s="20"/>
      <c r="E66" s="20"/>
      <c r="F66" s="20"/>
      <c r="G66" s="2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5.75" customHeight="1">
      <c r="A67" s="4"/>
      <c r="B67" s="20"/>
      <c r="C67" s="20"/>
      <c r="D67" s="20"/>
      <c r="E67" s="20"/>
      <c r="F67" s="20"/>
      <c r="G67" s="2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5.75" customHeight="1">
      <c r="A68" s="4"/>
      <c r="B68" s="20"/>
      <c r="C68" s="20"/>
      <c r="D68" s="20"/>
      <c r="E68" s="20"/>
      <c r="F68" s="20"/>
      <c r="G68" s="2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5.75" customHeight="1">
      <c r="A69" s="4"/>
      <c r="B69" s="20"/>
      <c r="C69" s="20"/>
      <c r="D69" s="20"/>
      <c r="E69" s="20"/>
      <c r="F69" s="20"/>
      <c r="G69" s="2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5.75" customHeight="1">
      <c r="A70" s="4"/>
      <c r="B70" s="20"/>
      <c r="C70" s="20"/>
      <c r="D70" s="20"/>
      <c r="E70" s="20"/>
      <c r="F70" s="20"/>
      <c r="G70" s="2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5.75" customHeight="1">
      <c r="A71" s="4"/>
      <c r="B71" s="20"/>
      <c r="C71" s="20"/>
      <c r="D71" s="20"/>
      <c r="E71" s="20"/>
      <c r="F71" s="20"/>
      <c r="G71" s="2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5.75" customHeight="1">
      <c r="A72" s="4"/>
      <c r="B72" s="20"/>
      <c r="C72" s="20"/>
      <c r="D72" s="20"/>
      <c r="E72" s="20"/>
      <c r="F72" s="20"/>
      <c r="G72" s="2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5.75" customHeight="1">
      <c r="A73" s="4"/>
      <c r="B73" s="20"/>
      <c r="C73" s="20"/>
      <c r="D73" s="20"/>
      <c r="E73" s="20"/>
      <c r="F73" s="20"/>
      <c r="G73" s="2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5.75" customHeight="1">
      <c r="A74" s="4"/>
      <c r="B74" s="20"/>
      <c r="C74" s="20"/>
      <c r="D74" s="20"/>
      <c r="E74" s="20"/>
      <c r="F74" s="20"/>
      <c r="G74" s="2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5.75" customHeight="1">
      <c r="A75" s="4"/>
      <c r="B75" s="20"/>
      <c r="C75" s="20"/>
      <c r="D75" s="20"/>
      <c r="E75" s="20"/>
      <c r="F75" s="20"/>
      <c r="G75" s="2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5.75" customHeight="1">
      <c r="A76" s="4"/>
      <c r="B76" s="20"/>
      <c r="C76" s="20"/>
      <c r="D76" s="20"/>
      <c r="E76" s="20"/>
      <c r="F76" s="20"/>
      <c r="G76" s="2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5.75" customHeight="1">
      <c r="A77" s="4"/>
      <c r="B77" s="20"/>
      <c r="C77" s="20"/>
      <c r="D77" s="20"/>
      <c r="E77" s="20"/>
      <c r="F77" s="20"/>
      <c r="G77" s="2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5.75" customHeight="1">
      <c r="A78" s="4"/>
      <c r="B78" s="20"/>
      <c r="C78" s="20"/>
      <c r="D78" s="20"/>
      <c r="E78" s="20"/>
      <c r="F78" s="20"/>
      <c r="G78" s="2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5.75" customHeight="1">
      <c r="A79" s="4"/>
      <c r="B79" s="20"/>
      <c r="C79" s="20"/>
      <c r="D79" s="20"/>
      <c r="E79" s="20"/>
      <c r="F79" s="20"/>
      <c r="G79" s="2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5.75" customHeight="1">
      <c r="A80" s="4"/>
      <c r="B80" s="20"/>
      <c r="C80" s="20"/>
      <c r="D80" s="20"/>
      <c r="E80" s="20"/>
      <c r="F80" s="20"/>
      <c r="G80" s="2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5.75" customHeight="1">
      <c r="A81" s="4"/>
      <c r="B81" s="20"/>
      <c r="C81" s="20"/>
      <c r="D81" s="20"/>
      <c r="E81" s="20"/>
      <c r="F81" s="20"/>
      <c r="G81" s="2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5.75" customHeight="1">
      <c r="A82" s="4"/>
      <c r="B82" s="20"/>
      <c r="C82" s="20"/>
      <c r="D82" s="20"/>
      <c r="E82" s="20"/>
      <c r="F82" s="20"/>
      <c r="G82" s="2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5.75" customHeight="1">
      <c r="A83" s="4"/>
      <c r="B83" s="20"/>
      <c r="C83" s="20"/>
      <c r="D83" s="20"/>
      <c r="E83" s="20"/>
      <c r="F83" s="20"/>
      <c r="G83" s="2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5.75" customHeight="1">
      <c r="A84" s="4"/>
      <c r="B84" s="20"/>
      <c r="C84" s="20"/>
      <c r="D84" s="20"/>
      <c r="E84" s="20"/>
      <c r="F84" s="20"/>
      <c r="G84" s="2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5.75" customHeight="1">
      <c r="A85" s="4"/>
      <c r="B85" s="20"/>
      <c r="C85" s="20"/>
      <c r="D85" s="20"/>
      <c r="E85" s="20"/>
      <c r="F85" s="20"/>
      <c r="G85" s="2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5.75" customHeight="1">
      <c r="A86" s="4"/>
      <c r="B86" s="20"/>
      <c r="C86" s="20"/>
      <c r="D86" s="20"/>
      <c r="E86" s="20"/>
      <c r="F86" s="20"/>
      <c r="G86" s="2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5.75" customHeight="1">
      <c r="A87" s="4"/>
      <c r="B87" s="20"/>
      <c r="C87" s="20"/>
      <c r="D87" s="20"/>
      <c r="E87" s="20"/>
      <c r="F87" s="20"/>
      <c r="G87" s="2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5.75" customHeight="1">
      <c r="A88" s="4"/>
      <c r="B88" s="20"/>
      <c r="C88" s="20"/>
      <c r="D88" s="20"/>
      <c r="E88" s="20"/>
      <c r="F88" s="20"/>
      <c r="G88" s="2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5.75" customHeight="1">
      <c r="A89" s="4"/>
      <c r="B89" s="20"/>
      <c r="C89" s="20"/>
      <c r="D89" s="20"/>
      <c r="E89" s="20"/>
      <c r="F89" s="20"/>
      <c r="G89" s="2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5.75" customHeight="1">
      <c r="A90" s="4"/>
      <c r="B90" s="20"/>
      <c r="C90" s="20"/>
      <c r="D90" s="20"/>
      <c r="E90" s="20"/>
      <c r="F90" s="20"/>
      <c r="G90" s="2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5.75" customHeight="1">
      <c r="A91" s="4"/>
      <c r="B91" s="20"/>
      <c r="C91" s="20"/>
      <c r="D91" s="20"/>
      <c r="E91" s="20"/>
      <c r="F91" s="20"/>
      <c r="G91" s="2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5.75" customHeight="1">
      <c r="A92" s="4"/>
      <c r="B92" s="20"/>
      <c r="C92" s="20"/>
      <c r="D92" s="20"/>
      <c r="E92" s="20"/>
      <c r="F92" s="20"/>
      <c r="G92" s="2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5.75" customHeight="1">
      <c r="A93" s="4"/>
      <c r="B93" s="20"/>
      <c r="C93" s="20"/>
      <c r="D93" s="20"/>
      <c r="E93" s="20"/>
      <c r="F93" s="20"/>
      <c r="G93" s="2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5.75" customHeight="1">
      <c r="A94" s="4"/>
      <c r="B94" s="20"/>
      <c r="C94" s="20"/>
      <c r="D94" s="20"/>
      <c r="E94" s="20"/>
      <c r="F94" s="20"/>
      <c r="G94" s="2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5.75" customHeight="1">
      <c r="A95" s="4"/>
      <c r="B95" s="20"/>
      <c r="C95" s="20"/>
      <c r="D95" s="20"/>
      <c r="E95" s="20"/>
      <c r="F95" s="20"/>
      <c r="G95" s="2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5.75" customHeight="1">
      <c r="A96" s="4"/>
      <c r="B96" s="20"/>
      <c r="C96" s="20"/>
      <c r="D96" s="20"/>
      <c r="E96" s="20"/>
      <c r="F96" s="20"/>
      <c r="G96" s="2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5.75" customHeight="1">
      <c r="A97" s="4"/>
      <c r="B97" s="20"/>
      <c r="C97" s="20"/>
      <c r="D97" s="20"/>
      <c r="E97" s="20"/>
      <c r="F97" s="20"/>
      <c r="G97" s="2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5.75" customHeight="1">
      <c r="A98" s="4"/>
      <c r="B98" s="20"/>
      <c r="C98" s="20"/>
      <c r="D98" s="20"/>
      <c r="E98" s="20"/>
      <c r="F98" s="20"/>
      <c r="G98" s="2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5.75" customHeight="1">
      <c r="A99" s="4"/>
      <c r="B99" s="20"/>
      <c r="C99" s="20"/>
      <c r="D99" s="20"/>
      <c r="E99" s="20"/>
      <c r="F99" s="20"/>
      <c r="G99" s="2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5.75" customHeight="1">
      <c r="A100" s="4"/>
      <c r="B100" s="20"/>
      <c r="C100" s="20"/>
      <c r="D100" s="20"/>
      <c r="E100" s="20"/>
      <c r="F100" s="20"/>
      <c r="G100" s="2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5.75" customHeight="1">
      <c r="A101" s="4"/>
      <c r="B101" s="20"/>
      <c r="C101" s="20"/>
      <c r="D101" s="20"/>
      <c r="E101" s="20"/>
      <c r="F101" s="20"/>
      <c r="G101" s="2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5.75" customHeight="1">
      <c r="A102" s="4"/>
      <c r="B102" s="20"/>
      <c r="C102" s="20"/>
      <c r="D102" s="20"/>
      <c r="E102" s="20"/>
      <c r="F102" s="20"/>
      <c r="G102" s="2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5.75" customHeight="1">
      <c r="A103" s="4"/>
      <c r="B103" s="20"/>
      <c r="C103" s="20"/>
      <c r="D103" s="20"/>
      <c r="E103" s="20"/>
      <c r="F103" s="20"/>
      <c r="G103" s="2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5.75" customHeight="1">
      <c r="A104" s="4"/>
      <c r="B104" s="20"/>
      <c r="C104" s="20"/>
      <c r="D104" s="20"/>
      <c r="E104" s="20"/>
      <c r="F104" s="20"/>
      <c r="G104" s="2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5.75" customHeight="1">
      <c r="A105" s="4"/>
      <c r="B105" s="20"/>
      <c r="C105" s="20"/>
      <c r="D105" s="20"/>
      <c r="E105" s="20"/>
      <c r="F105" s="20"/>
      <c r="G105" s="2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5.75" customHeight="1">
      <c r="A106" s="4"/>
      <c r="B106" s="20"/>
      <c r="C106" s="20"/>
      <c r="D106" s="20"/>
      <c r="E106" s="20"/>
      <c r="F106" s="20"/>
      <c r="G106" s="2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5.75" customHeight="1">
      <c r="A107" s="4"/>
      <c r="B107" s="20"/>
      <c r="C107" s="20"/>
      <c r="D107" s="20"/>
      <c r="E107" s="20"/>
      <c r="F107" s="20"/>
      <c r="G107" s="2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5.75" customHeight="1">
      <c r="A108" s="4"/>
      <c r="B108" s="20"/>
      <c r="C108" s="20"/>
      <c r="D108" s="20"/>
      <c r="E108" s="20"/>
      <c r="F108" s="20"/>
      <c r="G108" s="2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5.75" customHeight="1">
      <c r="A109" s="4"/>
      <c r="B109" s="20"/>
      <c r="C109" s="20"/>
      <c r="D109" s="20"/>
      <c r="E109" s="20"/>
      <c r="F109" s="20"/>
      <c r="G109" s="2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5.75" customHeight="1">
      <c r="A110" s="4"/>
      <c r="B110" s="20"/>
      <c r="C110" s="20"/>
      <c r="D110" s="20"/>
      <c r="E110" s="20"/>
      <c r="F110" s="20"/>
      <c r="G110" s="2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5.75" customHeight="1">
      <c r="A111" s="4"/>
      <c r="B111" s="20"/>
      <c r="C111" s="20"/>
      <c r="D111" s="20"/>
      <c r="E111" s="20"/>
      <c r="F111" s="20"/>
      <c r="G111" s="2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5.75" customHeight="1">
      <c r="A112" s="4"/>
      <c r="B112" s="20"/>
      <c r="C112" s="20"/>
      <c r="D112" s="20"/>
      <c r="E112" s="20"/>
      <c r="F112" s="20"/>
      <c r="G112" s="2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5.75" customHeight="1">
      <c r="A113" s="4"/>
      <c r="B113" s="20"/>
      <c r="C113" s="20"/>
      <c r="D113" s="20"/>
      <c r="E113" s="20"/>
      <c r="F113" s="20"/>
      <c r="G113" s="2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5.75" customHeight="1">
      <c r="A114" s="4"/>
      <c r="B114" s="20"/>
      <c r="C114" s="20"/>
      <c r="D114" s="20"/>
      <c r="E114" s="20"/>
      <c r="F114" s="20"/>
      <c r="G114" s="2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5.75" customHeight="1">
      <c r="A115" s="4"/>
      <c r="B115" s="20"/>
      <c r="C115" s="20"/>
      <c r="D115" s="20"/>
      <c r="E115" s="20"/>
      <c r="F115" s="20"/>
      <c r="G115" s="2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5.75" customHeight="1">
      <c r="A116" s="4"/>
      <c r="B116" s="20"/>
      <c r="C116" s="20"/>
      <c r="D116" s="20"/>
      <c r="E116" s="20"/>
      <c r="F116" s="20"/>
      <c r="G116" s="2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5.75" customHeight="1">
      <c r="A117" s="4"/>
      <c r="B117" s="20"/>
      <c r="C117" s="20"/>
      <c r="D117" s="20"/>
      <c r="E117" s="20"/>
      <c r="F117" s="20"/>
      <c r="G117" s="2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5.75" customHeight="1">
      <c r="A118" s="4"/>
      <c r="B118" s="20"/>
      <c r="C118" s="20"/>
      <c r="D118" s="20"/>
      <c r="E118" s="20"/>
      <c r="F118" s="20"/>
      <c r="G118" s="2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5.75" customHeight="1">
      <c r="A119" s="4"/>
      <c r="B119" s="20"/>
      <c r="C119" s="20"/>
      <c r="D119" s="20"/>
      <c r="E119" s="20"/>
      <c r="F119" s="20"/>
      <c r="G119" s="2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5.75" customHeight="1">
      <c r="A120" s="4"/>
      <c r="B120" s="20"/>
      <c r="C120" s="20"/>
      <c r="D120" s="20"/>
      <c r="E120" s="20"/>
      <c r="F120" s="20"/>
      <c r="G120" s="2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5.75" customHeight="1">
      <c r="A121" s="4"/>
      <c r="B121" s="20"/>
      <c r="C121" s="20"/>
      <c r="D121" s="20"/>
      <c r="E121" s="20"/>
      <c r="F121" s="20"/>
      <c r="G121" s="2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5.75" customHeight="1">
      <c r="A122" s="4"/>
      <c r="B122" s="20"/>
      <c r="C122" s="20"/>
      <c r="D122" s="20"/>
      <c r="E122" s="20"/>
      <c r="F122" s="20"/>
      <c r="G122" s="2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5.75" customHeight="1">
      <c r="A123" s="4"/>
      <c r="B123" s="20"/>
      <c r="C123" s="20"/>
      <c r="D123" s="20"/>
      <c r="E123" s="20"/>
      <c r="F123" s="20"/>
      <c r="G123" s="2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5.75" customHeight="1">
      <c r="A124" s="4"/>
      <c r="B124" s="20"/>
      <c r="C124" s="20"/>
      <c r="D124" s="20"/>
      <c r="E124" s="20"/>
      <c r="F124" s="20"/>
      <c r="G124" s="2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5.75" customHeight="1">
      <c r="A125" s="4"/>
      <c r="B125" s="20"/>
      <c r="C125" s="20"/>
      <c r="D125" s="20"/>
      <c r="E125" s="20"/>
      <c r="F125" s="20"/>
      <c r="G125" s="2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5.75" customHeight="1">
      <c r="A126" s="4"/>
      <c r="B126" s="20"/>
      <c r="C126" s="20"/>
      <c r="D126" s="20"/>
      <c r="E126" s="20"/>
      <c r="F126" s="20"/>
      <c r="G126" s="2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5.75" customHeight="1">
      <c r="A127" s="4"/>
      <c r="B127" s="20"/>
      <c r="C127" s="20"/>
      <c r="D127" s="20"/>
      <c r="E127" s="20"/>
      <c r="F127" s="20"/>
      <c r="G127" s="2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5.75" customHeight="1">
      <c r="A128" s="4"/>
      <c r="B128" s="20"/>
      <c r="C128" s="20"/>
      <c r="D128" s="20"/>
      <c r="E128" s="20"/>
      <c r="F128" s="20"/>
      <c r="G128" s="2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5.75" customHeight="1">
      <c r="A129" s="4"/>
      <c r="B129" s="20"/>
      <c r="C129" s="20"/>
      <c r="D129" s="20"/>
      <c r="E129" s="20"/>
      <c r="F129" s="20"/>
      <c r="G129" s="2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5.75" customHeight="1">
      <c r="A130" s="4"/>
      <c r="B130" s="20"/>
      <c r="C130" s="20"/>
      <c r="D130" s="20"/>
      <c r="E130" s="20"/>
      <c r="F130" s="20"/>
      <c r="G130" s="2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5.75" customHeight="1">
      <c r="A131" s="4"/>
      <c r="B131" s="20"/>
      <c r="C131" s="20"/>
      <c r="D131" s="20"/>
      <c r="E131" s="20"/>
      <c r="F131" s="20"/>
      <c r="G131" s="2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5.75" customHeight="1">
      <c r="A132" s="4"/>
      <c r="B132" s="20"/>
      <c r="C132" s="20"/>
      <c r="D132" s="20"/>
      <c r="E132" s="20"/>
      <c r="F132" s="20"/>
      <c r="G132" s="2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5.75" customHeight="1">
      <c r="A133" s="4"/>
      <c r="B133" s="20"/>
      <c r="C133" s="20"/>
      <c r="D133" s="20"/>
      <c r="E133" s="20"/>
      <c r="F133" s="20"/>
      <c r="G133" s="2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5.75" customHeight="1">
      <c r="A134" s="4"/>
      <c r="B134" s="20"/>
      <c r="C134" s="20"/>
      <c r="D134" s="20"/>
      <c r="E134" s="20"/>
      <c r="F134" s="20"/>
      <c r="G134" s="2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5.75" customHeight="1">
      <c r="A135" s="4"/>
      <c r="B135" s="20"/>
      <c r="C135" s="20"/>
      <c r="D135" s="20"/>
      <c r="E135" s="20"/>
      <c r="F135" s="20"/>
      <c r="G135" s="2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5.75" customHeight="1">
      <c r="A136" s="4"/>
      <c r="B136" s="20"/>
      <c r="C136" s="20"/>
      <c r="D136" s="20"/>
      <c r="E136" s="20"/>
      <c r="F136" s="20"/>
      <c r="G136" s="2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5.75" customHeight="1">
      <c r="A137" s="4"/>
      <c r="B137" s="20"/>
      <c r="C137" s="20"/>
      <c r="D137" s="20"/>
      <c r="E137" s="20"/>
      <c r="F137" s="20"/>
      <c r="G137" s="2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5.75" customHeight="1">
      <c r="A138" s="4"/>
      <c r="B138" s="20"/>
      <c r="C138" s="20"/>
      <c r="D138" s="20"/>
      <c r="E138" s="20"/>
      <c r="F138" s="20"/>
      <c r="G138" s="2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5.75" customHeight="1">
      <c r="A139" s="4"/>
      <c r="B139" s="20"/>
      <c r="C139" s="20"/>
      <c r="D139" s="20"/>
      <c r="E139" s="20"/>
      <c r="F139" s="20"/>
      <c r="G139" s="2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5.75" customHeight="1">
      <c r="A140" s="4"/>
      <c r="B140" s="20"/>
      <c r="C140" s="20"/>
      <c r="D140" s="20"/>
      <c r="E140" s="20"/>
      <c r="F140" s="20"/>
      <c r="G140" s="2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5.75" customHeight="1">
      <c r="A141" s="4"/>
      <c r="B141" s="20"/>
      <c r="C141" s="20"/>
      <c r="D141" s="20"/>
      <c r="E141" s="20"/>
      <c r="F141" s="20"/>
      <c r="G141" s="2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5.75" customHeight="1">
      <c r="A142" s="4"/>
      <c r="B142" s="20"/>
      <c r="C142" s="20"/>
      <c r="D142" s="20"/>
      <c r="E142" s="20"/>
      <c r="F142" s="20"/>
      <c r="G142" s="2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5.75" customHeight="1">
      <c r="A143" s="4"/>
      <c r="B143" s="20"/>
      <c r="C143" s="20"/>
      <c r="D143" s="20"/>
      <c r="E143" s="20"/>
      <c r="F143" s="20"/>
      <c r="G143" s="2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5.75" customHeight="1">
      <c r="A144" s="4"/>
      <c r="B144" s="20"/>
      <c r="C144" s="20"/>
      <c r="D144" s="20"/>
      <c r="E144" s="20"/>
      <c r="F144" s="20"/>
      <c r="G144" s="2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5.75" customHeight="1">
      <c r="A145" s="4"/>
      <c r="B145" s="20"/>
      <c r="C145" s="20"/>
      <c r="D145" s="20"/>
      <c r="E145" s="20"/>
      <c r="F145" s="20"/>
      <c r="G145" s="2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5.75" customHeight="1">
      <c r="A146" s="4"/>
      <c r="B146" s="20"/>
      <c r="C146" s="20"/>
      <c r="D146" s="20"/>
      <c r="E146" s="20"/>
      <c r="F146" s="20"/>
      <c r="G146" s="2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5.75" customHeight="1">
      <c r="A147" s="4"/>
      <c r="B147" s="20"/>
      <c r="C147" s="20"/>
      <c r="D147" s="20"/>
      <c r="E147" s="20"/>
      <c r="F147" s="20"/>
      <c r="G147" s="2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5.75" customHeight="1">
      <c r="A148" s="4"/>
      <c r="B148" s="20"/>
      <c r="C148" s="20"/>
      <c r="D148" s="20"/>
      <c r="E148" s="20"/>
      <c r="F148" s="20"/>
      <c r="G148" s="2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5.75" customHeight="1">
      <c r="A149" s="4"/>
      <c r="B149" s="20"/>
      <c r="C149" s="20"/>
      <c r="D149" s="20"/>
      <c r="E149" s="20"/>
      <c r="F149" s="20"/>
      <c r="G149" s="2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5.75" customHeight="1">
      <c r="A150" s="4"/>
      <c r="B150" s="20"/>
      <c r="C150" s="20"/>
      <c r="D150" s="20"/>
      <c r="E150" s="20"/>
      <c r="F150" s="20"/>
      <c r="G150" s="2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5.75" customHeight="1">
      <c r="A151" s="4"/>
      <c r="B151" s="20"/>
      <c r="C151" s="20"/>
      <c r="D151" s="20"/>
      <c r="E151" s="20"/>
      <c r="F151" s="20"/>
      <c r="G151" s="2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5.75" customHeight="1">
      <c r="A152" s="4"/>
      <c r="B152" s="20"/>
      <c r="C152" s="20"/>
      <c r="D152" s="20"/>
      <c r="E152" s="20"/>
      <c r="F152" s="20"/>
      <c r="G152" s="2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5.75" customHeight="1">
      <c r="A153" s="4"/>
      <c r="B153" s="20"/>
      <c r="C153" s="20"/>
      <c r="D153" s="20"/>
      <c r="E153" s="20"/>
      <c r="F153" s="20"/>
      <c r="G153" s="2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5.75" customHeight="1">
      <c r="A154" s="4"/>
      <c r="B154" s="20"/>
      <c r="C154" s="20"/>
      <c r="D154" s="20"/>
      <c r="E154" s="20"/>
      <c r="F154" s="20"/>
      <c r="G154" s="2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5.75" customHeight="1">
      <c r="A155" s="4"/>
      <c r="B155" s="20"/>
      <c r="C155" s="20"/>
      <c r="D155" s="20"/>
      <c r="E155" s="20"/>
      <c r="F155" s="20"/>
      <c r="G155" s="2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5.75" customHeight="1">
      <c r="A156" s="4"/>
      <c r="B156" s="20"/>
      <c r="C156" s="20"/>
      <c r="D156" s="20"/>
      <c r="E156" s="20"/>
      <c r="F156" s="20"/>
      <c r="G156" s="2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5.75" customHeight="1">
      <c r="A157" s="4"/>
      <c r="B157" s="20"/>
      <c r="C157" s="20"/>
      <c r="D157" s="20"/>
      <c r="E157" s="20"/>
      <c r="F157" s="20"/>
      <c r="G157" s="2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5.75" customHeight="1">
      <c r="A158" s="4"/>
      <c r="B158" s="20"/>
      <c r="C158" s="20"/>
      <c r="D158" s="20"/>
      <c r="E158" s="20"/>
      <c r="F158" s="20"/>
      <c r="G158" s="2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5.75" customHeight="1">
      <c r="A159" s="4"/>
      <c r="B159" s="20"/>
      <c r="C159" s="20"/>
      <c r="D159" s="20"/>
      <c r="E159" s="20"/>
      <c r="F159" s="20"/>
      <c r="G159" s="2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5.75" customHeight="1">
      <c r="A160" s="4"/>
      <c r="B160" s="20"/>
      <c r="C160" s="20"/>
      <c r="D160" s="20"/>
      <c r="E160" s="20"/>
      <c r="F160" s="20"/>
      <c r="G160" s="2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5.75" customHeight="1">
      <c r="A161" s="4"/>
      <c r="B161" s="20"/>
      <c r="C161" s="20"/>
      <c r="D161" s="20"/>
      <c r="E161" s="20"/>
      <c r="F161" s="20"/>
      <c r="G161" s="2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5.75" customHeight="1">
      <c r="A162" s="4"/>
      <c r="B162" s="20"/>
      <c r="C162" s="20"/>
      <c r="D162" s="20"/>
      <c r="E162" s="20"/>
      <c r="F162" s="20"/>
      <c r="G162" s="2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5.75" customHeight="1">
      <c r="A163" s="4"/>
      <c r="B163" s="20"/>
      <c r="C163" s="20"/>
      <c r="D163" s="20"/>
      <c r="E163" s="20"/>
      <c r="F163" s="20"/>
      <c r="G163" s="2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5.75" customHeight="1">
      <c r="A164" s="4"/>
      <c r="B164" s="20"/>
      <c r="C164" s="20"/>
      <c r="D164" s="20"/>
      <c r="E164" s="20"/>
      <c r="F164" s="20"/>
      <c r="G164" s="2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5.75" customHeight="1">
      <c r="A165" s="4"/>
      <c r="B165" s="20"/>
      <c r="C165" s="20"/>
      <c r="D165" s="20"/>
      <c r="E165" s="20"/>
      <c r="F165" s="20"/>
      <c r="G165" s="2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5.75" customHeight="1">
      <c r="A166" s="4"/>
      <c r="B166" s="20"/>
      <c r="C166" s="20"/>
      <c r="D166" s="20"/>
      <c r="E166" s="20"/>
      <c r="F166" s="20"/>
      <c r="G166" s="2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5.75" customHeight="1">
      <c r="A167" s="4"/>
      <c r="B167" s="20"/>
      <c r="C167" s="20"/>
      <c r="D167" s="20"/>
      <c r="E167" s="20"/>
      <c r="F167" s="20"/>
      <c r="G167" s="2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5.75" customHeight="1">
      <c r="A168" s="4"/>
      <c r="B168" s="20"/>
      <c r="C168" s="20"/>
      <c r="D168" s="20"/>
      <c r="E168" s="20"/>
      <c r="F168" s="20"/>
      <c r="G168" s="2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5.75" customHeight="1">
      <c r="A169" s="4"/>
      <c r="B169" s="20"/>
      <c r="C169" s="20"/>
      <c r="D169" s="20"/>
      <c r="E169" s="20"/>
      <c r="F169" s="20"/>
      <c r="G169" s="2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5.75" customHeight="1">
      <c r="A170" s="4"/>
      <c r="B170" s="20"/>
      <c r="C170" s="20"/>
      <c r="D170" s="20"/>
      <c r="E170" s="20"/>
      <c r="F170" s="20"/>
      <c r="G170" s="2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5.75" customHeight="1">
      <c r="A171" s="4"/>
      <c r="B171" s="20"/>
      <c r="C171" s="20"/>
      <c r="D171" s="20"/>
      <c r="E171" s="20"/>
      <c r="F171" s="20"/>
      <c r="G171" s="2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5.75" customHeight="1">
      <c r="A172" s="4"/>
      <c r="B172" s="20"/>
      <c r="C172" s="20"/>
      <c r="D172" s="20"/>
      <c r="E172" s="20"/>
      <c r="F172" s="20"/>
      <c r="G172" s="2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5.75" customHeight="1">
      <c r="A173" s="4"/>
      <c r="B173" s="20"/>
      <c r="C173" s="20"/>
      <c r="D173" s="20"/>
      <c r="E173" s="20"/>
      <c r="F173" s="20"/>
      <c r="G173" s="2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5.75" customHeight="1">
      <c r="A174" s="4"/>
      <c r="B174" s="20"/>
      <c r="C174" s="20"/>
      <c r="D174" s="20"/>
      <c r="E174" s="20"/>
      <c r="F174" s="20"/>
      <c r="G174" s="2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5.75" customHeight="1">
      <c r="A175" s="4"/>
      <c r="B175" s="20"/>
      <c r="C175" s="20"/>
      <c r="D175" s="20"/>
      <c r="E175" s="20"/>
      <c r="F175" s="20"/>
      <c r="G175" s="2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5.75" customHeight="1">
      <c r="A176" s="4"/>
      <c r="B176" s="20"/>
      <c r="C176" s="20"/>
      <c r="D176" s="20"/>
      <c r="E176" s="20"/>
      <c r="F176" s="20"/>
      <c r="G176" s="2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5.75" customHeight="1">
      <c r="A177" s="4"/>
      <c r="B177" s="20"/>
      <c r="C177" s="20"/>
      <c r="D177" s="20"/>
      <c r="E177" s="20"/>
      <c r="F177" s="20"/>
      <c r="G177" s="2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5.75" customHeight="1">
      <c r="A178" s="4"/>
      <c r="B178" s="20"/>
      <c r="C178" s="20"/>
      <c r="D178" s="20"/>
      <c r="E178" s="20"/>
      <c r="F178" s="20"/>
      <c r="G178" s="2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5.75" customHeight="1">
      <c r="A179" s="4"/>
      <c r="B179" s="20"/>
      <c r="C179" s="20"/>
      <c r="D179" s="20"/>
      <c r="E179" s="20"/>
      <c r="F179" s="20"/>
      <c r="G179" s="2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5.75" customHeight="1">
      <c r="A180" s="4"/>
      <c r="B180" s="20"/>
      <c r="C180" s="20"/>
      <c r="D180" s="20"/>
      <c r="E180" s="20"/>
      <c r="F180" s="20"/>
      <c r="G180" s="2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5.75" customHeight="1">
      <c r="A181" s="4"/>
      <c r="B181" s="20"/>
      <c r="C181" s="20"/>
      <c r="D181" s="20"/>
      <c r="E181" s="20"/>
      <c r="F181" s="20"/>
      <c r="G181" s="2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5.75" customHeight="1">
      <c r="A182" s="4"/>
      <c r="B182" s="20"/>
      <c r="C182" s="20"/>
      <c r="D182" s="20"/>
      <c r="E182" s="20"/>
      <c r="F182" s="20"/>
      <c r="G182" s="2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5.75" customHeight="1">
      <c r="A183" s="4"/>
      <c r="B183" s="20"/>
      <c r="C183" s="20"/>
      <c r="D183" s="20"/>
      <c r="E183" s="20"/>
      <c r="F183" s="20"/>
      <c r="G183" s="2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5.75" customHeight="1">
      <c r="A184" s="4"/>
      <c r="B184" s="20"/>
      <c r="C184" s="20"/>
      <c r="D184" s="20"/>
      <c r="E184" s="20"/>
      <c r="F184" s="20"/>
      <c r="G184" s="2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5.75" customHeight="1">
      <c r="A185" s="4"/>
      <c r="B185" s="20"/>
      <c r="C185" s="20"/>
      <c r="D185" s="20"/>
      <c r="E185" s="20"/>
      <c r="F185" s="20"/>
      <c r="G185" s="2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5.75" customHeight="1">
      <c r="A186" s="4"/>
      <c r="B186" s="20"/>
      <c r="C186" s="20"/>
      <c r="D186" s="20"/>
      <c r="E186" s="20"/>
      <c r="F186" s="20"/>
      <c r="G186" s="2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5.75" customHeight="1">
      <c r="A187" s="4"/>
      <c r="B187" s="20"/>
      <c r="C187" s="20"/>
      <c r="D187" s="20"/>
      <c r="E187" s="20"/>
      <c r="F187" s="20"/>
      <c r="G187" s="2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5.75" customHeight="1">
      <c r="A188" s="4"/>
      <c r="B188" s="20"/>
      <c r="C188" s="20"/>
      <c r="D188" s="20"/>
      <c r="E188" s="20"/>
      <c r="F188" s="20"/>
      <c r="G188" s="2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5.75" customHeight="1">
      <c r="A189" s="4"/>
      <c r="B189" s="20"/>
      <c r="C189" s="20"/>
      <c r="D189" s="20"/>
      <c r="E189" s="20"/>
      <c r="F189" s="20"/>
      <c r="G189" s="2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5.75" customHeight="1">
      <c r="A190" s="4"/>
      <c r="B190" s="20"/>
      <c r="C190" s="20"/>
      <c r="D190" s="20"/>
      <c r="E190" s="20"/>
      <c r="F190" s="20"/>
      <c r="G190" s="2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5.75" customHeight="1">
      <c r="A191" s="4"/>
      <c r="B191" s="20"/>
      <c r="C191" s="20"/>
      <c r="D191" s="20"/>
      <c r="E191" s="20"/>
      <c r="F191" s="20"/>
      <c r="G191" s="2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5.75" customHeight="1">
      <c r="A192" s="4"/>
      <c r="B192" s="20"/>
      <c r="C192" s="20"/>
      <c r="D192" s="20"/>
      <c r="E192" s="20"/>
      <c r="F192" s="20"/>
      <c r="G192" s="2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5.75" customHeight="1">
      <c r="A193" s="4"/>
      <c r="B193" s="20"/>
      <c r="C193" s="20"/>
      <c r="D193" s="20"/>
      <c r="E193" s="20"/>
      <c r="F193" s="20"/>
      <c r="G193" s="2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5.75" customHeight="1">
      <c r="A194" s="4"/>
      <c r="B194" s="20"/>
      <c r="C194" s="20"/>
      <c r="D194" s="20"/>
      <c r="E194" s="20"/>
      <c r="F194" s="20"/>
      <c r="G194" s="2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5.75" customHeight="1">
      <c r="A195" s="4"/>
      <c r="B195" s="20"/>
      <c r="C195" s="20"/>
      <c r="D195" s="20"/>
      <c r="E195" s="20"/>
      <c r="F195" s="20"/>
      <c r="G195" s="2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5.75" customHeight="1">
      <c r="A196" s="4"/>
      <c r="B196" s="20"/>
      <c r="C196" s="20"/>
      <c r="D196" s="20"/>
      <c r="E196" s="20"/>
      <c r="F196" s="20"/>
      <c r="G196" s="2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5.75" customHeight="1">
      <c r="A197" s="4"/>
      <c r="B197" s="20"/>
      <c r="C197" s="20"/>
      <c r="D197" s="20"/>
      <c r="E197" s="20"/>
      <c r="F197" s="20"/>
      <c r="G197" s="2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5.75" customHeight="1">
      <c r="A198" s="4"/>
      <c r="B198" s="20"/>
      <c r="C198" s="20"/>
      <c r="D198" s="20"/>
      <c r="E198" s="20"/>
      <c r="F198" s="20"/>
      <c r="G198" s="2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5.75" customHeight="1">
      <c r="A199" s="4"/>
      <c r="B199" s="20"/>
      <c r="C199" s="20"/>
      <c r="D199" s="20"/>
      <c r="E199" s="20"/>
      <c r="F199" s="20"/>
      <c r="G199" s="2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5.75" customHeight="1">
      <c r="A200" s="4"/>
      <c r="B200" s="20"/>
      <c r="C200" s="20"/>
      <c r="D200" s="20"/>
      <c r="E200" s="20"/>
      <c r="F200" s="20"/>
      <c r="G200" s="2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5.75" customHeight="1">
      <c r="A201" s="4"/>
      <c r="B201" s="20"/>
      <c r="C201" s="20"/>
      <c r="D201" s="20"/>
      <c r="E201" s="20"/>
      <c r="F201" s="20"/>
      <c r="G201" s="2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5.75" customHeight="1">
      <c r="A202" s="4"/>
      <c r="B202" s="20"/>
      <c r="C202" s="20"/>
      <c r="D202" s="20"/>
      <c r="E202" s="20"/>
      <c r="F202" s="20"/>
      <c r="G202" s="2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5.75" customHeight="1">
      <c r="A203" s="4"/>
      <c r="B203" s="20"/>
      <c r="C203" s="20"/>
      <c r="D203" s="20"/>
      <c r="E203" s="20"/>
      <c r="F203" s="20"/>
      <c r="G203" s="2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5.75" customHeight="1">
      <c r="A204" s="4"/>
      <c r="B204" s="20"/>
      <c r="C204" s="20"/>
      <c r="D204" s="20"/>
      <c r="E204" s="20"/>
      <c r="F204" s="20"/>
      <c r="G204" s="2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5.75" customHeight="1">
      <c r="A205" s="4"/>
      <c r="B205" s="20"/>
      <c r="C205" s="20"/>
      <c r="D205" s="20"/>
      <c r="E205" s="20"/>
      <c r="F205" s="20"/>
      <c r="G205" s="2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5.75" customHeight="1">
      <c r="A206" s="4"/>
      <c r="B206" s="20"/>
      <c r="C206" s="20"/>
      <c r="D206" s="20"/>
      <c r="E206" s="20"/>
      <c r="F206" s="20"/>
      <c r="G206" s="2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5.75" customHeight="1">
      <c r="A207" s="4"/>
      <c r="B207" s="20"/>
      <c r="C207" s="20"/>
      <c r="D207" s="20"/>
      <c r="E207" s="20"/>
      <c r="F207" s="20"/>
      <c r="G207" s="2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5.75" customHeight="1">
      <c r="A208" s="4"/>
      <c r="B208" s="20"/>
      <c r="C208" s="20"/>
      <c r="D208" s="20"/>
      <c r="E208" s="20"/>
      <c r="F208" s="20"/>
      <c r="G208" s="2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5.75" customHeight="1">
      <c r="A209" s="4"/>
      <c r="B209" s="20"/>
      <c r="C209" s="20"/>
      <c r="D209" s="20"/>
      <c r="E209" s="20"/>
      <c r="F209" s="20"/>
      <c r="G209" s="2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5.75" customHeight="1">
      <c r="A210" s="4"/>
      <c r="B210" s="20"/>
      <c r="C210" s="20"/>
      <c r="D210" s="20"/>
      <c r="E210" s="20"/>
      <c r="F210" s="20"/>
      <c r="G210" s="2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5.75" customHeight="1">
      <c r="A211" s="4"/>
      <c r="B211" s="20"/>
      <c r="C211" s="20"/>
      <c r="D211" s="20"/>
      <c r="E211" s="20"/>
      <c r="F211" s="20"/>
      <c r="G211" s="2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5.75" customHeight="1">
      <c r="A212" s="4"/>
      <c r="B212" s="20"/>
      <c r="C212" s="20"/>
      <c r="D212" s="20"/>
      <c r="E212" s="20"/>
      <c r="F212" s="20"/>
      <c r="G212" s="2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5.75" customHeight="1">
      <c r="A213" s="4"/>
      <c r="B213" s="20"/>
      <c r="C213" s="20"/>
      <c r="D213" s="20"/>
      <c r="E213" s="20"/>
      <c r="F213" s="20"/>
      <c r="G213" s="2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5.75" customHeight="1">
      <c r="A214" s="4"/>
      <c r="B214" s="20"/>
      <c r="C214" s="20"/>
      <c r="D214" s="20"/>
      <c r="E214" s="20"/>
      <c r="F214" s="20"/>
      <c r="G214" s="2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5.75" customHeight="1">
      <c r="A215" s="4"/>
      <c r="B215" s="20"/>
      <c r="C215" s="20"/>
      <c r="D215" s="20"/>
      <c r="E215" s="20"/>
      <c r="F215" s="20"/>
      <c r="G215" s="2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5.75" customHeight="1">
      <c r="A216" s="4"/>
      <c r="B216" s="20"/>
      <c r="C216" s="20"/>
      <c r="D216" s="20"/>
      <c r="E216" s="20"/>
      <c r="F216" s="20"/>
      <c r="G216" s="2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5.75" customHeight="1">
      <c r="A217" s="4"/>
      <c r="B217" s="20"/>
      <c r="C217" s="20"/>
      <c r="D217" s="20"/>
      <c r="E217" s="20"/>
      <c r="F217" s="20"/>
      <c r="G217" s="2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5.75" customHeight="1">
      <c r="A218" s="4"/>
      <c r="B218" s="20"/>
      <c r="C218" s="20"/>
      <c r="D218" s="20"/>
      <c r="E218" s="20"/>
      <c r="F218" s="20"/>
      <c r="G218" s="2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5.75" customHeight="1">
      <c r="A219" s="4"/>
      <c r="B219" s="20"/>
      <c r="C219" s="20"/>
      <c r="D219" s="20"/>
      <c r="E219" s="20"/>
      <c r="F219" s="20"/>
      <c r="G219" s="2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5.75" customHeight="1">
      <c r="A220" s="4"/>
      <c r="B220" s="20"/>
      <c r="C220" s="20"/>
      <c r="D220" s="20"/>
      <c r="E220" s="20"/>
      <c r="F220" s="20"/>
      <c r="G220" s="2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34.0"/>
    <col customWidth="1" min="2" max="3" width="16.0"/>
    <col customWidth="1" min="4" max="26" width="8.71"/>
  </cols>
  <sheetData>
    <row r="1" ht="17.25" customHeight="1">
      <c r="A1" s="1" t="s">
        <v>111</v>
      </c>
      <c r="B1" s="2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3.0" customHeight="1">
      <c r="A2" s="5" t="s">
        <v>112</v>
      </c>
      <c r="B2" s="2"/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7.25" customHeight="1">
      <c r="A3" s="6"/>
      <c r="B3" s="7"/>
      <c r="C3" s="6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7.25" customHeight="1">
      <c r="A4" s="3" t="s">
        <v>113</v>
      </c>
      <c r="B4" s="2" t="s">
        <v>27</v>
      </c>
      <c r="C4" s="3" t="s">
        <v>114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7.25" customHeight="1">
      <c r="A5" s="3" t="s">
        <v>115</v>
      </c>
      <c r="B5" s="17">
        <v>32.24</v>
      </c>
      <c r="C5" s="3" t="s">
        <v>116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7.25" customHeight="1">
      <c r="A6" s="3" t="s">
        <v>117</v>
      </c>
      <c r="B6" s="17">
        <v>684.74</v>
      </c>
      <c r="C6" s="3" t="s">
        <v>118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7.25" customHeight="1">
      <c r="A7" s="3" t="s">
        <v>119</v>
      </c>
      <c r="B7" s="17">
        <f>B5*B6</f>
        <v>22076.0176</v>
      </c>
      <c r="C7" s="3" t="s">
        <v>120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7.25" customHeight="1">
      <c r="A8" s="3" t="s">
        <v>51</v>
      </c>
      <c r="B8" s="17">
        <f>Historical!G18</f>
        <v>2345</v>
      </c>
      <c r="C8" s="3" t="s">
        <v>120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7.25" customHeight="1">
      <c r="A9" s="3" t="s">
        <v>121</v>
      </c>
      <c r="B9" s="17">
        <f>B7+B8</f>
        <v>24421.0176</v>
      </c>
      <c r="C9" s="3" t="s">
        <v>120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7.25" customHeight="1">
      <c r="A10" s="3" t="s">
        <v>122</v>
      </c>
      <c r="B10" s="15">
        <v>0.0368</v>
      </c>
      <c r="C10" s="3" t="s">
        <v>123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7.25" customHeight="1">
      <c r="A11" s="3" t="s">
        <v>124</v>
      </c>
      <c r="B11" s="15">
        <v>0.0575</v>
      </c>
      <c r="C11" s="3" t="s">
        <v>123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7.25" customHeight="1">
      <c r="A12" s="3" t="s">
        <v>125</v>
      </c>
      <c r="B12" s="8">
        <v>1.0</v>
      </c>
      <c r="C12" s="3" t="s">
        <v>126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7.25" customHeight="1">
      <c r="A13" s="3" t="s">
        <v>127</v>
      </c>
      <c r="B13" s="15">
        <f>B10+(B12*B11)</f>
        <v>0.0943</v>
      </c>
      <c r="C13" s="3" t="s">
        <v>123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7.25" customHeight="1">
      <c r="A14" s="3" t="s">
        <v>128</v>
      </c>
      <c r="B14" s="15">
        <v>0.038</v>
      </c>
      <c r="C14" s="3" t="s">
        <v>123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7.25" customHeight="1">
      <c r="A15" s="3" t="s">
        <v>129</v>
      </c>
      <c r="B15" s="15">
        <v>0.2629317622491242</v>
      </c>
      <c r="C15" s="3" t="s">
        <v>123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7.25" customHeight="1">
      <c r="A16" s="3" t="s">
        <v>130</v>
      </c>
      <c r="B16" s="15">
        <f>B14*(1-B15)</f>
        <v>0.02800859303</v>
      </c>
      <c r="C16" s="3" t="s">
        <v>123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7.25" customHeight="1">
      <c r="A17" s="3" t="s">
        <v>131</v>
      </c>
      <c r="B17" s="15">
        <f>B7/B9</f>
        <v>0.9039761554</v>
      </c>
      <c r="C17" s="3" t="s">
        <v>123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7.25" customHeight="1">
      <c r="A18" s="3" t="s">
        <v>132</v>
      </c>
      <c r="B18" s="15">
        <f>B8/B9</f>
        <v>0.09602384464</v>
      </c>
      <c r="C18" s="3" t="s">
        <v>123</v>
      </c>
      <c r="D18" s="4"/>
      <c r="E18" s="4"/>
      <c r="F18" s="4"/>
      <c r="G18" s="4"/>
      <c r="H18" s="4" t="s">
        <v>133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7.25" customHeight="1">
      <c r="A19" s="3" t="s">
        <v>134</v>
      </c>
      <c r="B19" s="15">
        <f>(B13*B17)+(B16*B18)</f>
        <v>0.08793444424</v>
      </c>
      <c r="C19" s="3" t="s">
        <v>123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7.25" customHeight="1">
      <c r="A20" s="3" t="s">
        <v>135</v>
      </c>
      <c r="B20" s="8">
        <v>0.015</v>
      </c>
      <c r="C20" s="3" t="s">
        <v>123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20"/>
      <c r="C21" s="4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5.75" customHeight="1">
      <c r="A22" s="4"/>
      <c r="B22" s="20"/>
      <c r="C22" s="4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5.75" customHeight="1">
      <c r="A23" s="4"/>
      <c r="B23" s="20"/>
      <c r="C23" s="4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5.75" customHeight="1">
      <c r="A24" s="4"/>
      <c r="B24" s="20"/>
      <c r="C24" s="4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5.75" customHeight="1">
      <c r="A25" s="4"/>
      <c r="B25" s="20"/>
      <c r="C25" s="4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5.75" customHeight="1">
      <c r="A26" s="4"/>
      <c r="B26" s="20"/>
      <c r="C26" s="4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5.75" customHeight="1">
      <c r="A27" s="4"/>
      <c r="B27" s="20"/>
      <c r="C27" s="4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5.75" customHeight="1">
      <c r="A28" s="4"/>
      <c r="B28" s="20"/>
      <c r="C28" s="4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5.75" customHeight="1">
      <c r="A29" s="4"/>
      <c r="B29" s="20"/>
      <c r="C29" s="4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5.75" customHeight="1">
      <c r="A30" s="4"/>
      <c r="B30" s="20"/>
      <c r="C30" s="4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5.75" customHeight="1">
      <c r="A31" s="4"/>
      <c r="B31" s="20"/>
      <c r="C31" s="4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5.75" customHeight="1">
      <c r="A32" s="4"/>
      <c r="B32" s="20"/>
      <c r="C32" s="4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5.75" customHeight="1">
      <c r="A33" s="4"/>
      <c r="B33" s="20"/>
      <c r="C33" s="4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5.75" customHeight="1">
      <c r="A34" s="4"/>
      <c r="B34" s="20"/>
      <c r="C34" s="4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5.75" customHeight="1">
      <c r="A35" s="4"/>
      <c r="B35" s="20"/>
      <c r="C35" s="4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5.75" customHeight="1">
      <c r="A36" s="4"/>
      <c r="B36" s="20"/>
      <c r="C36" s="4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5.75" customHeight="1">
      <c r="A37" s="4"/>
      <c r="B37" s="20"/>
      <c r="C37" s="4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5.75" customHeight="1">
      <c r="A38" s="4"/>
      <c r="B38" s="20"/>
      <c r="C38" s="4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5.75" customHeight="1">
      <c r="A39" s="4"/>
      <c r="B39" s="20"/>
      <c r="C39" s="4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5.75" customHeight="1">
      <c r="A40" s="4"/>
      <c r="B40" s="20"/>
      <c r="C40" s="4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5.75" customHeight="1">
      <c r="A41" s="4"/>
      <c r="B41" s="20"/>
      <c r="C41" s="4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5.75" customHeight="1">
      <c r="A42" s="4"/>
      <c r="B42" s="20"/>
      <c r="C42" s="4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5.75" customHeight="1">
      <c r="A43" s="4"/>
      <c r="B43" s="20"/>
      <c r="C43" s="4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5.75" customHeight="1">
      <c r="A44" s="4"/>
      <c r="B44" s="20"/>
      <c r="C44" s="4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5.75" customHeight="1">
      <c r="A45" s="4"/>
      <c r="B45" s="20"/>
      <c r="C45" s="4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5.75" customHeight="1">
      <c r="A46" s="4"/>
      <c r="B46" s="20"/>
      <c r="C46" s="4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5.75" customHeight="1">
      <c r="A47" s="4"/>
      <c r="B47" s="20"/>
      <c r="C47" s="4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5.75" customHeight="1">
      <c r="A48" s="4"/>
      <c r="B48" s="20"/>
      <c r="C48" s="4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5.75" customHeight="1">
      <c r="A49" s="4"/>
      <c r="B49" s="20"/>
      <c r="C49" s="4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5.75" customHeight="1">
      <c r="A50" s="4"/>
      <c r="B50" s="20"/>
      <c r="C50" s="4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5.75" customHeight="1">
      <c r="A51" s="4"/>
      <c r="B51" s="20"/>
      <c r="C51" s="4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5.75" customHeight="1">
      <c r="A52" s="4"/>
      <c r="B52" s="20"/>
      <c r="C52" s="4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5.75" customHeight="1">
      <c r="A53" s="4"/>
      <c r="B53" s="20"/>
      <c r="C53" s="4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5.75" customHeight="1">
      <c r="A54" s="4"/>
      <c r="B54" s="20"/>
      <c r="C54" s="4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5.75" customHeight="1">
      <c r="A55" s="4"/>
      <c r="B55" s="20"/>
      <c r="C55" s="4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5.75" customHeight="1">
      <c r="A56" s="4"/>
      <c r="B56" s="20"/>
      <c r="C56" s="4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5.75" customHeight="1">
      <c r="A57" s="4"/>
      <c r="B57" s="20"/>
      <c r="C57" s="4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5.75" customHeight="1">
      <c r="A58" s="4"/>
      <c r="B58" s="20"/>
      <c r="C58" s="4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5.75" customHeight="1">
      <c r="A59" s="4"/>
      <c r="B59" s="20"/>
      <c r="C59" s="4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5.75" customHeight="1">
      <c r="A60" s="4"/>
      <c r="B60" s="20"/>
      <c r="C60" s="4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5.75" customHeight="1">
      <c r="A61" s="4"/>
      <c r="B61" s="20"/>
      <c r="C61" s="4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5.75" customHeight="1">
      <c r="A62" s="4"/>
      <c r="B62" s="20"/>
      <c r="C62" s="4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5.75" customHeight="1">
      <c r="A63" s="4"/>
      <c r="B63" s="20"/>
      <c r="C63" s="4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5.75" customHeight="1">
      <c r="A64" s="4"/>
      <c r="B64" s="20"/>
      <c r="C64" s="4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5.75" customHeight="1">
      <c r="A65" s="4"/>
      <c r="B65" s="20"/>
      <c r="C65" s="4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5.75" customHeight="1">
      <c r="A66" s="4"/>
      <c r="B66" s="20"/>
      <c r="C66" s="4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5.75" customHeight="1">
      <c r="A67" s="4"/>
      <c r="B67" s="20"/>
      <c r="C67" s="4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5.75" customHeight="1">
      <c r="A68" s="4"/>
      <c r="B68" s="20"/>
      <c r="C68" s="4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5.75" customHeight="1">
      <c r="A69" s="4"/>
      <c r="B69" s="20"/>
      <c r="C69" s="4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5.75" customHeight="1">
      <c r="A70" s="4"/>
      <c r="B70" s="20"/>
      <c r="C70" s="4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5.75" customHeight="1">
      <c r="A71" s="4"/>
      <c r="B71" s="20"/>
      <c r="C71" s="4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5.75" customHeight="1">
      <c r="A72" s="4"/>
      <c r="B72" s="20"/>
      <c r="C72" s="4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5.75" customHeight="1">
      <c r="A73" s="4"/>
      <c r="B73" s="20"/>
      <c r="C73" s="4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5.75" customHeight="1">
      <c r="A74" s="4"/>
      <c r="B74" s="20"/>
      <c r="C74" s="4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5.75" customHeight="1">
      <c r="A75" s="4"/>
      <c r="B75" s="20"/>
      <c r="C75" s="4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5.75" customHeight="1">
      <c r="A76" s="4"/>
      <c r="B76" s="20"/>
      <c r="C76" s="4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5.75" customHeight="1">
      <c r="A77" s="4"/>
      <c r="B77" s="20"/>
      <c r="C77" s="4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5.75" customHeight="1">
      <c r="A78" s="4"/>
      <c r="B78" s="20"/>
      <c r="C78" s="4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5.75" customHeight="1">
      <c r="A79" s="4"/>
      <c r="B79" s="20"/>
      <c r="C79" s="4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5.75" customHeight="1">
      <c r="A80" s="4"/>
      <c r="B80" s="20"/>
      <c r="C80" s="4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5.75" customHeight="1">
      <c r="A81" s="4"/>
      <c r="B81" s="20"/>
      <c r="C81" s="4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5.75" customHeight="1">
      <c r="A82" s="4"/>
      <c r="B82" s="20"/>
      <c r="C82" s="4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5.75" customHeight="1">
      <c r="A83" s="4"/>
      <c r="B83" s="20"/>
      <c r="C83" s="4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5.75" customHeight="1">
      <c r="A84" s="4"/>
      <c r="B84" s="20"/>
      <c r="C84" s="4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5.75" customHeight="1">
      <c r="A85" s="4"/>
      <c r="B85" s="20"/>
      <c r="C85" s="4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5.75" customHeight="1">
      <c r="A86" s="4"/>
      <c r="B86" s="20"/>
      <c r="C86" s="4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5.75" customHeight="1">
      <c r="A87" s="4"/>
      <c r="B87" s="20"/>
      <c r="C87" s="4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5.75" customHeight="1">
      <c r="A88" s="4"/>
      <c r="B88" s="20"/>
      <c r="C88" s="4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5.75" customHeight="1">
      <c r="A89" s="4"/>
      <c r="B89" s="20"/>
      <c r="C89" s="4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5.75" customHeight="1">
      <c r="A90" s="4"/>
      <c r="B90" s="20"/>
      <c r="C90" s="4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5.75" customHeight="1">
      <c r="A91" s="4"/>
      <c r="B91" s="20"/>
      <c r="C91" s="4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5.75" customHeight="1">
      <c r="A92" s="4"/>
      <c r="B92" s="20"/>
      <c r="C92" s="4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5.75" customHeight="1">
      <c r="A93" s="4"/>
      <c r="B93" s="20"/>
      <c r="C93" s="4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5.75" customHeight="1">
      <c r="A94" s="4"/>
      <c r="B94" s="20"/>
      <c r="C94" s="4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5.75" customHeight="1">
      <c r="A95" s="4"/>
      <c r="B95" s="20"/>
      <c r="C95" s="4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5.75" customHeight="1">
      <c r="A96" s="4"/>
      <c r="B96" s="20"/>
      <c r="C96" s="4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5.75" customHeight="1">
      <c r="A97" s="4"/>
      <c r="B97" s="20"/>
      <c r="C97" s="4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5.75" customHeight="1">
      <c r="A98" s="4"/>
      <c r="B98" s="20"/>
      <c r="C98" s="4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5.75" customHeight="1">
      <c r="A99" s="4"/>
      <c r="B99" s="20"/>
      <c r="C99" s="4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5.75" customHeight="1">
      <c r="A100" s="4"/>
      <c r="B100" s="20"/>
      <c r="C100" s="4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5.75" customHeight="1">
      <c r="A101" s="4"/>
      <c r="B101" s="20"/>
      <c r="C101" s="4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5.75" customHeight="1">
      <c r="A102" s="4"/>
      <c r="B102" s="20"/>
      <c r="C102" s="4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5.75" customHeight="1">
      <c r="A103" s="4"/>
      <c r="B103" s="20"/>
      <c r="C103" s="4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5.75" customHeight="1">
      <c r="A104" s="4"/>
      <c r="B104" s="20"/>
      <c r="C104" s="4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5.75" customHeight="1">
      <c r="A105" s="4"/>
      <c r="B105" s="20"/>
      <c r="C105" s="4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5.75" customHeight="1">
      <c r="A106" s="4"/>
      <c r="B106" s="20"/>
      <c r="C106" s="4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5.75" customHeight="1">
      <c r="A107" s="4"/>
      <c r="B107" s="20"/>
      <c r="C107" s="4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5.75" customHeight="1">
      <c r="A108" s="4"/>
      <c r="B108" s="20"/>
      <c r="C108" s="4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5.75" customHeight="1">
      <c r="A109" s="4"/>
      <c r="B109" s="20"/>
      <c r="C109" s="4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5.75" customHeight="1">
      <c r="A110" s="4"/>
      <c r="B110" s="20"/>
      <c r="C110" s="4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5.75" customHeight="1">
      <c r="A111" s="4"/>
      <c r="B111" s="20"/>
      <c r="C111" s="4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5.75" customHeight="1">
      <c r="A112" s="4"/>
      <c r="B112" s="20"/>
      <c r="C112" s="4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5.75" customHeight="1">
      <c r="A113" s="4"/>
      <c r="B113" s="20"/>
      <c r="C113" s="4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5.75" customHeight="1">
      <c r="A114" s="4"/>
      <c r="B114" s="20"/>
      <c r="C114" s="4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5.75" customHeight="1">
      <c r="A115" s="4"/>
      <c r="B115" s="20"/>
      <c r="C115" s="4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5.75" customHeight="1">
      <c r="A116" s="4"/>
      <c r="B116" s="20"/>
      <c r="C116" s="4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5.75" customHeight="1">
      <c r="A117" s="4"/>
      <c r="B117" s="20"/>
      <c r="C117" s="4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5.75" customHeight="1">
      <c r="A118" s="4"/>
      <c r="B118" s="20"/>
      <c r="C118" s="4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5.75" customHeight="1">
      <c r="A119" s="4"/>
      <c r="B119" s="20"/>
      <c r="C119" s="4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5.75" customHeight="1">
      <c r="A120" s="4"/>
      <c r="B120" s="20"/>
      <c r="C120" s="4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5.75" customHeight="1">
      <c r="A121" s="4"/>
      <c r="B121" s="20"/>
      <c r="C121" s="4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5.75" customHeight="1">
      <c r="A122" s="4"/>
      <c r="B122" s="20"/>
      <c r="C122" s="4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5.75" customHeight="1">
      <c r="A123" s="4"/>
      <c r="B123" s="20"/>
      <c r="C123" s="4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5.75" customHeight="1">
      <c r="A124" s="4"/>
      <c r="B124" s="20"/>
      <c r="C124" s="4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5.75" customHeight="1">
      <c r="A125" s="4"/>
      <c r="B125" s="20"/>
      <c r="C125" s="4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5.75" customHeight="1">
      <c r="A126" s="4"/>
      <c r="B126" s="20"/>
      <c r="C126" s="4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5.75" customHeight="1">
      <c r="A127" s="4"/>
      <c r="B127" s="20"/>
      <c r="C127" s="4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5.75" customHeight="1">
      <c r="A128" s="4"/>
      <c r="B128" s="20"/>
      <c r="C128" s="4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5.75" customHeight="1">
      <c r="A129" s="4"/>
      <c r="B129" s="20"/>
      <c r="C129" s="4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5.75" customHeight="1">
      <c r="A130" s="4"/>
      <c r="B130" s="20"/>
      <c r="C130" s="4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5.75" customHeight="1">
      <c r="A131" s="4"/>
      <c r="B131" s="20"/>
      <c r="C131" s="4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5.75" customHeight="1">
      <c r="A132" s="4"/>
      <c r="B132" s="20"/>
      <c r="C132" s="4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5.75" customHeight="1">
      <c r="A133" s="4"/>
      <c r="B133" s="20"/>
      <c r="C133" s="4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5.75" customHeight="1">
      <c r="A134" s="4"/>
      <c r="B134" s="20"/>
      <c r="C134" s="4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5.75" customHeight="1">
      <c r="A135" s="4"/>
      <c r="B135" s="20"/>
      <c r="C135" s="4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5.75" customHeight="1">
      <c r="A136" s="4"/>
      <c r="B136" s="20"/>
      <c r="C136" s="4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5.75" customHeight="1">
      <c r="A137" s="4"/>
      <c r="B137" s="20"/>
      <c r="C137" s="4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5.75" customHeight="1">
      <c r="A138" s="4"/>
      <c r="B138" s="20"/>
      <c r="C138" s="4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5.75" customHeight="1">
      <c r="A139" s="4"/>
      <c r="B139" s="20"/>
      <c r="C139" s="4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5.75" customHeight="1">
      <c r="A140" s="4"/>
      <c r="B140" s="20"/>
      <c r="C140" s="4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5.75" customHeight="1">
      <c r="A141" s="4"/>
      <c r="B141" s="20"/>
      <c r="C141" s="4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5.75" customHeight="1">
      <c r="A142" s="4"/>
      <c r="B142" s="20"/>
      <c r="C142" s="4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5.75" customHeight="1">
      <c r="A143" s="4"/>
      <c r="B143" s="20"/>
      <c r="C143" s="4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5.75" customHeight="1">
      <c r="A144" s="4"/>
      <c r="B144" s="20"/>
      <c r="C144" s="4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5.75" customHeight="1">
      <c r="A145" s="4"/>
      <c r="B145" s="20"/>
      <c r="C145" s="4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5.75" customHeight="1">
      <c r="A146" s="4"/>
      <c r="B146" s="20"/>
      <c r="C146" s="4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5.75" customHeight="1">
      <c r="A147" s="4"/>
      <c r="B147" s="20"/>
      <c r="C147" s="4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5.75" customHeight="1">
      <c r="A148" s="4"/>
      <c r="B148" s="20"/>
      <c r="C148" s="4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5.75" customHeight="1">
      <c r="A149" s="4"/>
      <c r="B149" s="20"/>
      <c r="C149" s="4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5.75" customHeight="1">
      <c r="A150" s="4"/>
      <c r="B150" s="20"/>
      <c r="C150" s="4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5.75" customHeight="1">
      <c r="A151" s="4"/>
      <c r="B151" s="20"/>
      <c r="C151" s="4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5.75" customHeight="1">
      <c r="A152" s="4"/>
      <c r="B152" s="20"/>
      <c r="C152" s="4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5.75" customHeight="1">
      <c r="A153" s="4"/>
      <c r="B153" s="20"/>
      <c r="C153" s="4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5.75" customHeight="1">
      <c r="A154" s="4"/>
      <c r="B154" s="20"/>
      <c r="C154" s="4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5.75" customHeight="1">
      <c r="A155" s="4"/>
      <c r="B155" s="20"/>
      <c r="C155" s="4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5.75" customHeight="1">
      <c r="A156" s="4"/>
      <c r="B156" s="20"/>
      <c r="C156" s="4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5.75" customHeight="1">
      <c r="A157" s="4"/>
      <c r="B157" s="20"/>
      <c r="C157" s="4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5.75" customHeight="1">
      <c r="A158" s="4"/>
      <c r="B158" s="20"/>
      <c r="C158" s="4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5.75" customHeight="1">
      <c r="A159" s="4"/>
      <c r="B159" s="20"/>
      <c r="C159" s="4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5.75" customHeight="1">
      <c r="A160" s="4"/>
      <c r="B160" s="20"/>
      <c r="C160" s="4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5.75" customHeight="1">
      <c r="A161" s="4"/>
      <c r="B161" s="20"/>
      <c r="C161" s="4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5.75" customHeight="1">
      <c r="A162" s="4"/>
      <c r="B162" s="20"/>
      <c r="C162" s="4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5.75" customHeight="1">
      <c r="A163" s="4"/>
      <c r="B163" s="20"/>
      <c r="C163" s="4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5.75" customHeight="1">
      <c r="A164" s="4"/>
      <c r="B164" s="20"/>
      <c r="C164" s="4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5.75" customHeight="1">
      <c r="A165" s="4"/>
      <c r="B165" s="20"/>
      <c r="C165" s="4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5.75" customHeight="1">
      <c r="A166" s="4"/>
      <c r="B166" s="20"/>
      <c r="C166" s="4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5.75" customHeight="1">
      <c r="A167" s="4"/>
      <c r="B167" s="20"/>
      <c r="C167" s="4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5.75" customHeight="1">
      <c r="A168" s="4"/>
      <c r="B168" s="20"/>
      <c r="C168" s="4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5.75" customHeight="1">
      <c r="A169" s="4"/>
      <c r="B169" s="20"/>
      <c r="C169" s="4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5.75" customHeight="1">
      <c r="A170" s="4"/>
      <c r="B170" s="20"/>
      <c r="C170" s="4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5.75" customHeight="1">
      <c r="A171" s="4"/>
      <c r="B171" s="20"/>
      <c r="C171" s="4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5.75" customHeight="1">
      <c r="A172" s="4"/>
      <c r="B172" s="20"/>
      <c r="C172" s="4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5.75" customHeight="1">
      <c r="A173" s="4"/>
      <c r="B173" s="20"/>
      <c r="C173" s="4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5.75" customHeight="1">
      <c r="A174" s="4"/>
      <c r="B174" s="20"/>
      <c r="C174" s="4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5.75" customHeight="1">
      <c r="A175" s="4"/>
      <c r="B175" s="20"/>
      <c r="C175" s="4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5.75" customHeight="1">
      <c r="A176" s="4"/>
      <c r="B176" s="20"/>
      <c r="C176" s="4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5.75" customHeight="1">
      <c r="A177" s="4"/>
      <c r="B177" s="20"/>
      <c r="C177" s="4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5.75" customHeight="1">
      <c r="A178" s="4"/>
      <c r="B178" s="20"/>
      <c r="C178" s="4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5.75" customHeight="1">
      <c r="A179" s="4"/>
      <c r="B179" s="20"/>
      <c r="C179" s="4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5.75" customHeight="1">
      <c r="A180" s="4"/>
      <c r="B180" s="20"/>
      <c r="C180" s="4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5.75" customHeight="1">
      <c r="A181" s="4"/>
      <c r="B181" s="20"/>
      <c r="C181" s="4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5.75" customHeight="1">
      <c r="A182" s="4"/>
      <c r="B182" s="20"/>
      <c r="C182" s="4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5.75" customHeight="1">
      <c r="A183" s="4"/>
      <c r="B183" s="20"/>
      <c r="C183" s="4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5.75" customHeight="1">
      <c r="A184" s="4"/>
      <c r="B184" s="20"/>
      <c r="C184" s="4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5.75" customHeight="1">
      <c r="A185" s="4"/>
      <c r="B185" s="20"/>
      <c r="C185" s="4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5.75" customHeight="1">
      <c r="A186" s="4"/>
      <c r="B186" s="20"/>
      <c r="C186" s="4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5.75" customHeight="1">
      <c r="A187" s="4"/>
      <c r="B187" s="20"/>
      <c r="C187" s="4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5.75" customHeight="1">
      <c r="A188" s="4"/>
      <c r="B188" s="20"/>
      <c r="C188" s="4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5.75" customHeight="1">
      <c r="A189" s="4"/>
      <c r="B189" s="20"/>
      <c r="C189" s="4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5.75" customHeight="1">
      <c r="A190" s="4"/>
      <c r="B190" s="20"/>
      <c r="C190" s="4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5.75" customHeight="1">
      <c r="A191" s="4"/>
      <c r="B191" s="20"/>
      <c r="C191" s="4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5.75" customHeight="1">
      <c r="A192" s="4"/>
      <c r="B192" s="20"/>
      <c r="C192" s="4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5.75" customHeight="1">
      <c r="A193" s="4"/>
      <c r="B193" s="20"/>
      <c r="C193" s="4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5.75" customHeight="1">
      <c r="A194" s="4"/>
      <c r="B194" s="20"/>
      <c r="C194" s="4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5.75" customHeight="1">
      <c r="A195" s="4"/>
      <c r="B195" s="20"/>
      <c r="C195" s="4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5.75" customHeight="1">
      <c r="A196" s="4"/>
      <c r="B196" s="20"/>
      <c r="C196" s="4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5.75" customHeight="1">
      <c r="A197" s="4"/>
      <c r="B197" s="20"/>
      <c r="C197" s="4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5.75" customHeight="1">
      <c r="A198" s="4"/>
      <c r="B198" s="20"/>
      <c r="C198" s="4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5.75" customHeight="1">
      <c r="A199" s="4"/>
      <c r="B199" s="20"/>
      <c r="C199" s="4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5.75" customHeight="1">
      <c r="A200" s="4"/>
      <c r="B200" s="20"/>
      <c r="C200" s="4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5.75" customHeight="1">
      <c r="A201" s="4"/>
      <c r="B201" s="20"/>
      <c r="C201" s="4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5.75" customHeight="1">
      <c r="A202" s="4"/>
      <c r="B202" s="20"/>
      <c r="C202" s="4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5.75" customHeight="1">
      <c r="A203" s="4"/>
      <c r="B203" s="20"/>
      <c r="C203" s="4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5.75" customHeight="1">
      <c r="A204" s="4"/>
      <c r="B204" s="20"/>
      <c r="C204" s="4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5.75" customHeight="1">
      <c r="A205" s="4"/>
      <c r="B205" s="20"/>
      <c r="C205" s="4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5.75" customHeight="1">
      <c r="A206" s="4"/>
      <c r="B206" s="20"/>
      <c r="C206" s="4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5.75" customHeight="1">
      <c r="A207" s="4"/>
      <c r="B207" s="20"/>
      <c r="C207" s="4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5.75" customHeight="1">
      <c r="A208" s="4"/>
      <c r="B208" s="20"/>
      <c r="C208" s="4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5.75" customHeight="1">
      <c r="A209" s="4"/>
      <c r="B209" s="20"/>
      <c r="C209" s="4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5.75" customHeight="1">
      <c r="A210" s="4"/>
      <c r="B210" s="20"/>
      <c r="C210" s="4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5.75" customHeight="1">
      <c r="A211" s="4"/>
      <c r="B211" s="20"/>
      <c r="C211" s="4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5.75" customHeight="1">
      <c r="A212" s="4"/>
      <c r="B212" s="20"/>
      <c r="C212" s="4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5.75" customHeight="1">
      <c r="A213" s="4"/>
      <c r="B213" s="20"/>
      <c r="C213" s="4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5.75" customHeight="1">
      <c r="A214" s="4"/>
      <c r="B214" s="20"/>
      <c r="C214" s="4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5.75" customHeight="1">
      <c r="A215" s="4"/>
      <c r="B215" s="20"/>
      <c r="C215" s="4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5.75" customHeight="1">
      <c r="A216" s="4"/>
      <c r="B216" s="20"/>
      <c r="C216" s="4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5.75" customHeight="1">
      <c r="A217" s="4"/>
      <c r="B217" s="20"/>
      <c r="C217" s="4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5.75" customHeight="1">
      <c r="A218" s="4"/>
      <c r="B218" s="20"/>
      <c r="C218" s="4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5.75" customHeight="1">
      <c r="A219" s="4"/>
      <c r="B219" s="20"/>
      <c r="C219" s="4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5.75" customHeight="1">
      <c r="A220" s="4"/>
      <c r="B220" s="20"/>
      <c r="C220" s="4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34.0"/>
    <col customWidth="1" min="2" max="6" width="16.0"/>
    <col customWidth="1" min="7" max="26" width="8.71"/>
  </cols>
  <sheetData>
    <row r="1" ht="17.25" customHeight="1">
      <c r="A1" s="1" t="s">
        <v>136</v>
      </c>
      <c r="B1" s="21"/>
      <c r="C1" s="11"/>
      <c r="D1" s="11"/>
      <c r="E1" s="11"/>
      <c r="F1" s="11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7.25" customHeight="1">
      <c r="A2" s="5" t="s">
        <v>137</v>
      </c>
      <c r="B2" s="21"/>
      <c r="C2" s="11"/>
      <c r="D2" s="11"/>
      <c r="E2" s="11"/>
      <c r="F2" s="11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7.25" customHeight="1">
      <c r="A3" s="6"/>
      <c r="B3" s="6" t="s">
        <v>55</v>
      </c>
      <c r="C3" s="12" t="s">
        <v>56</v>
      </c>
      <c r="D3" s="12" t="s">
        <v>57</v>
      </c>
      <c r="E3" s="12" t="s">
        <v>58</v>
      </c>
      <c r="F3" s="12" t="s">
        <v>59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7.25" customHeight="1">
      <c r="A4" s="13" t="s">
        <v>37</v>
      </c>
      <c r="B4" s="14">
        <f>Forecast!B4</f>
        <v>26382.05971</v>
      </c>
      <c r="C4" s="14">
        <f>Forecast!C4</f>
        <v>27041.6112</v>
      </c>
      <c r="D4" s="14">
        <f>Forecast!D4</f>
        <v>27852.85953</v>
      </c>
      <c r="E4" s="14">
        <f>Forecast!E4</f>
        <v>28688.44532</v>
      </c>
      <c r="F4" s="14">
        <f>Forecast!F4</f>
        <v>29405.65645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7.25" customHeight="1">
      <c r="A5" s="13" t="s">
        <v>62</v>
      </c>
      <c r="B5" s="14">
        <f>Forecast!B9</f>
        <v>2822.880388</v>
      </c>
      <c r="C5" s="14">
        <f>Forecast!C9</f>
        <v>3028.660454</v>
      </c>
      <c r="D5" s="14">
        <f>Forecast!D9</f>
        <v>3230.931706</v>
      </c>
      <c r="E5" s="14">
        <f>Forecast!E9</f>
        <v>3413.924993</v>
      </c>
      <c r="F5" s="14">
        <f>Forecast!F9</f>
        <v>3528.678774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7.25" customHeight="1">
      <c r="A6" s="13" t="s">
        <v>64</v>
      </c>
      <c r="B6" s="14">
        <f>Forecast!B11</f>
        <v>2080.655473</v>
      </c>
      <c r="C6" s="14">
        <f>Forecast!C11</f>
        <v>2232.329424</v>
      </c>
      <c r="D6" s="14">
        <f>Forecast!D11</f>
        <v>2381.417139</v>
      </c>
      <c r="E6" s="14">
        <f>Forecast!E11</f>
        <v>2516.295678</v>
      </c>
      <c r="F6" s="14">
        <f>Forecast!F11</f>
        <v>2600.877046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7.25" customHeight="1">
      <c r="A7" s="13" t="s">
        <v>66</v>
      </c>
      <c r="B7" s="14">
        <f>Forecast!B13</f>
        <v>1925.890358</v>
      </c>
      <c r="C7" s="14">
        <f>Forecast!C13</f>
        <v>1946.996006</v>
      </c>
      <c r="D7" s="14">
        <f>Forecast!D13</f>
        <v>1977.553027</v>
      </c>
      <c r="E7" s="14">
        <f>Forecast!E13</f>
        <v>2008.191172</v>
      </c>
      <c r="F7" s="14">
        <f>Forecast!F13</f>
        <v>2058.395952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7.25" customHeight="1">
      <c r="A8" s="13" t="s">
        <v>47</v>
      </c>
      <c r="B8" s="14">
        <f>Forecast!B15</f>
        <v>1925.890358</v>
      </c>
      <c r="C8" s="14">
        <f>Forecast!C15</f>
        <v>1946.996006</v>
      </c>
      <c r="D8" s="14">
        <f>Forecast!D15</f>
        <v>1977.553027</v>
      </c>
      <c r="E8" s="14">
        <f>Forecast!E15</f>
        <v>2008.191172</v>
      </c>
      <c r="F8" s="14">
        <f>Forecast!F15</f>
        <v>2058.395952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7.25" customHeight="1">
      <c r="A9" s="13" t="s">
        <v>67</v>
      </c>
      <c r="B9" s="14">
        <f>Forecast!B16</f>
        <v>3.898826557</v>
      </c>
      <c r="C9" s="14">
        <f>Forecast!C16</f>
        <v>6.595514926</v>
      </c>
      <c r="D9" s="14">
        <f>Forecast!D16</f>
        <v>8.112483359</v>
      </c>
      <c r="E9" s="14">
        <f>Forecast!E16</f>
        <v>8.35585786</v>
      </c>
      <c r="F9" s="14">
        <f>Forecast!F16</f>
        <v>7.17211133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7.25" customHeight="1">
      <c r="A10" s="13" t="s">
        <v>68</v>
      </c>
      <c r="B10" s="14">
        <f>Forecast!B17</f>
        <v>2076.756647</v>
      </c>
      <c r="C10" s="14">
        <f>Forecast!C17</f>
        <v>2225.733909</v>
      </c>
      <c r="D10" s="14">
        <f>Forecast!D17</f>
        <v>2373.304655</v>
      </c>
      <c r="E10" s="14">
        <f>Forecast!E17</f>
        <v>2507.939821</v>
      </c>
      <c r="F10" s="14">
        <f>Forecast!F17</f>
        <v>2593.704934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7.25" customHeight="1">
      <c r="A11" s="13" t="s">
        <v>138</v>
      </c>
      <c r="B11" s="22">
        <f>(1+WACC!$B$19)^-(COLUMN()-1)</f>
        <v>0.9191730304</v>
      </c>
      <c r="C11" s="22">
        <f>(1+WACC!$B$19)^-(COLUMN()-1)</f>
        <v>0.8448790598</v>
      </c>
      <c r="D11" s="22">
        <f>(1+WACC!$B$19)^-(COLUMN()-1)</f>
        <v>0.7765900458</v>
      </c>
      <c r="E11" s="22">
        <f>(1+WACC!$B$19)^-(COLUMN()-1)</f>
        <v>0.7138206258</v>
      </c>
      <c r="F11" s="22">
        <f>(1+WACC!$B$19)^-(COLUMN()-1)</f>
        <v>0.6561246677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7.25" customHeight="1">
      <c r="A12" s="13" t="s">
        <v>139</v>
      </c>
      <c r="B12" s="14">
        <f t="shared" ref="B12:F12" si="1">B10*B11</f>
        <v>1908.8987</v>
      </c>
      <c r="C12" s="14">
        <f t="shared" si="1"/>
        <v>1880.475972</v>
      </c>
      <c r="D12" s="14">
        <f t="shared" si="1"/>
        <v>1843.084771</v>
      </c>
      <c r="E12" s="14">
        <f t="shared" si="1"/>
        <v>1790.219172</v>
      </c>
      <c r="F12" s="14">
        <f t="shared" si="1"/>
        <v>1701.793788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7.25" customHeight="1">
      <c r="A13" s="3"/>
      <c r="B13" s="21"/>
      <c r="C13" s="11"/>
      <c r="D13" s="11"/>
      <c r="E13" s="11"/>
      <c r="F13" s="11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7.25" customHeight="1">
      <c r="A14" s="3"/>
      <c r="B14" s="21"/>
      <c r="C14" s="11"/>
      <c r="D14" s="11"/>
      <c r="E14" s="11"/>
      <c r="F14" s="11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7.25" customHeight="1">
      <c r="A15" s="6" t="s">
        <v>140</v>
      </c>
      <c r="B15" s="21"/>
      <c r="C15" s="11"/>
      <c r="D15" s="11"/>
      <c r="E15" s="11"/>
      <c r="F15" s="11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7.25" customHeight="1">
      <c r="A16" s="3" t="s">
        <v>141</v>
      </c>
      <c r="B16" s="17">
        <f>SUM(B12:F12)</f>
        <v>9124.472404</v>
      </c>
      <c r="C16" s="11"/>
      <c r="D16" s="11"/>
      <c r="E16" s="11"/>
      <c r="F16" s="11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7.25" customHeight="1">
      <c r="A17" s="3" t="s">
        <v>142</v>
      </c>
      <c r="B17" s="17">
        <f>F10*(1+WACC!$B$20)/(WACC!$B$19-WACC!$B$20)</f>
        <v>36095.57235</v>
      </c>
      <c r="C17" s="11"/>
      <c r="D17" s="11"/>
      <c r="E17" s="11"/>
      <c r="F17" s="11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7.25" customHeight="1">
      <c r="A18" s="3" t="s">
        <v>143</v>
      </c>
      <c r="B18" s="17">
        <f>B17*F11</f>
        <v>23683.19541</v>
      </c>
      <c r="C18" s="11"/>
      <c r="D18" s="11"/>
      <c r="E18" s="11"/>
      <c r="F18" s="11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7.25" customHeight="1">
      <c r="A19" s="3" t="s">
        <v>144</v>
      </c>
      <c r="B19" s="17">
        <f>B16+B18</f>
        <v>32807.66782</v>
      </c>
      <c r="C19" s="11"/>
      <c r="D19" s="11"/>
      <c r="E19" s="11"/>
      <c r="F19" s="11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7.25" customHeight="1">
      <c r="A20" s="3" t="s">
        <v>51</v>
      </c>
      <c r="B20" s="17">
        <f>WACC!B8</f>
        <v>2345</v>
      </c>
      <c r="C20" s="11"/>
      <c r="D20" s="11"/>
      <c r="E20" s="11"/>
      <c r="F20" s="11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7.25" customHeight="1">
      <c r="A21" s="3" t="s">
        <v>145</v>
      </c>
      <c r="B21" s="17">
        <f>B19-B20</f>
        <v>30462.66782</v>
      </c>
      <c r="C21" s="11"/>
      <c r="D21" s="11"/>
      <c r="E21" s="11"/>
      <c r="F21" s="11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7.25" customHeight="1">
      <c r="A22" s="3" t="s">
        <v>117</v>
      </c>
      <c r="B22" s="17">
        <f>WACC!B6</f>
        <v>684.74</v>
      </c>
      <c r="C22" s="11"/>
      <c r="D22" s="11"/>
      <c r="E22" s="11"/>
      <c r="F22" s="11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7.25" customHeight="1">
      <c r="A23" s="3" t="s">
        <v>146</v>
      </c>
      <c r="B23" s="17">
        <f>B21/B22</f>
        <v>44.48793384</v>
      </c>
      <c r="C23" s="11"/>
      <c r="D23" s="11"/>
      <c r="E23" s="11"/>
      <c r="F23" s="11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7.25" customHeight="1">
      <c r="A24" s="3" t="s">
        <v>147</v>
      </c>
      <c r="B24" s="17">
        <f>WACC!B5</f>
        <v>32.24</v>
      </c>
      <c r="C24" s="11"/>
      <c r="D24" s="11"/>
      <c r="E24" s="11"/>
      <c r="F24" s="11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7.25" customHeight="1">
      <c r="A25" s="3" t="s">
        <v>148</v>
      </c>
      <c r="B25" s="15">
        <f>B23/B24-1</f>
        <v>0.3798986923</v>
      </c>
      <c r="C25" s="11"/>
      <c r="D25" s="11"/>
      <c r="E25" s="11"/>
      <c r="F25" s="11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23"/>
      <c r="C26" s="18"/>
      <c r="D26" s="18"/>
      <c r="E26" s="18"/>
      <c r="F26" s="18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5.75" customHeight="1">
      <c r="A27" s="4"/>
      <c r="B27" s="23"/>
      <c r="C27" s="18"/>
      <c r="D27" s="18"/>
      <c r="E27" s="18"/>
      <c r="F27" s="18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5.75" customHeight="1">
      <c r="A28" s="4"/>
      <c r="B28" s="23"/>
      <c r="C28" s="18"/>
      <c r="D28" s="18"/>
      <c r="E28" s="18"/>
      <c r="F28" s="18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5.75" customHeight="1">
      <c r="A29" s="4"/>
      <c r="B29" s="23"/>
      <c r="C29" s="18"/>
      <c r="D29" s="18"/>
      <c r="E29" s="18"/>
      <c r="F29" s="18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5.75" customHeight="1">
      <c r="A30" s="4"/>
      <c r="B30" s="23"/>
      <c r="C30" s="18"/>
      <c r="D30" s="18"/>
      <c r="E30" s="18"/>
      <c r="F30" s="18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5.75" customHeight="1">
      <c r="A31" s="4"/>
      <c r="B31" s="23"/>
      <c r="C31" s="18"/>
      <c r="D31" s="18"/>
      <c r="E31" s="18"/>
      <c r="F31" s="18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5.75" customHeight="1">
      <c r="A32" s="4"/>
      <c r="B32" s="23"/>
      <c r="C32" s="18"/>
      <c r="D32" s="18"/>
      <c r="E32" s="18"/>
      <c r="F32" s="18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5.75" customHeight="1">
      <c r="A33" s="4"/>
      <c r="B33" s="23"/>
      <c r="C33" s="18"/>
      <c r="D33" s="18"/>
      <c r="E33" s="18"/>
      <c r="F33" s="18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5.75" customHeight="1">
      <c r="A34" s="4"/>
      <c r="B34" s="23"/>
      <c r="C34" s="18"/>
      <c r="D34" s="18"/>
      <c r="E34" s="18"/>
      <c r="F34" s="18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5.75" customHeight="1">
      <c r="A35" s="4"/>
      <c r="B35" s="23"/>
      <c r="C35" s="18"/>
      <c r="D35" s="18"/>
      <c r="E35" s="18"/>
      <c r="F35" s="18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5.75" customHeight="1">
      <c r="A36" s="4"/>
      <c r="B36" s="23"/>
      <c r="C36" s="18"/>
      <c r="D36" s="18"/>
      <c r="E36" s="18"/>
      <c r="F36" s="18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5.75" customHeight="1">
      <c r="A37" s="4"/>
      <c r="B37" s="23"/>
      <c r="C37" s="18"/>
      <c r="D37" s="18"/>
      <c r="E37" s="18"/>
      <c r="F37" s="18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5.75" customHeight="1">
      <c r="A38" s="4"/>
      <c r="B38" s="23"/>
      <c r="C38" s="18"/>
      <c r="D38" s="18"/>
      <c r="E38" s="18"/>
      <c r="F38" s="18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5.75" customHeight="1">
      <c r="A39" s="4"/>
      <c r="B39" s="23"/>
      <c r="C39" s="18"/>
      <c r="D39" s="18"/>
      <c r="E39" s="18"/>
      <c r="F39" s="18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5.75" customHeight="1">
      <c r="A40" s="4"/>
      <c r="B40" s="23"/>
      <c r="C40" s="18"/>
      <c r="D40" s="18"/>
      <c r="E40" s="18"/>
      <c r="F40" s="18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5.75" customHeight="1">
      <c r="A41" s="4"/>
      <c r="B41" s="23"/>
      <c r="C41" s="18"/>
      <c r="D41" s="18"/>
      <c r="E41" s="18"/>
      <c r="F41" s="18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5.75" customHeight="1">
      <c r="A42" s="4"/>
      <c r="B42" s="23"/>
      <c r="C42" s="18"/>
      <c r="D42" s="18"/>
      <c r="E42" s="18"/>
      <c r="F42" s="18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5.75" customHeight="1">
      <c r="A43" s="4"/>
      <c r="B43" s="23"/>
      <c r="C43" s="18"/>
      <c r="D43" s="18"/>
      <c r="E43" s="18"/>
      <c r="F43" s="18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5.75" customHeight="1">
      <c r="A44" s="4"/>
      <c r="B44" s="23"/>
      <c r="C44" s="18"/>
      <c r="D44" s="18"/>
      <c r="E44" s="18"/>
      <c r="F44" s="18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5.75" customHeight="1">
      <c r="A45" s="4"/>
      <c r="B45" s="23"/>
      <c r="C45" s="18"/>
      <c r="D45" s="18"/>
      <c r="E45" s="18"/>
      <c r="F45" s="18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5.75" customHeight="1">
      <c r="A46" s="4"/>
      <c r="B46" s="23"/>
      <c r="C46" s="18"/>
      <c r="D46" s="18"/>
      <c r="E46" s="18"/>
      <c r="F46" s="18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5.75" customHeight="1">
      <c r="A47" s="4"/>
      <c r="B47" s="23"/>
      <c r="C47" s="18"/>
      <c r="D47" s="18"/>
      <c r="E47" s="18"/>
      <c r="F47" s="18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5.75" customHeight="1">
      <c r="A48" s="4"/>
      <c r="B48" s="23"/>
      <c r="C48" s="18"/>
      <c r="D48" s="18"/>
      <c r="E48" s="18"/>
      <c r="F48" s="18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5.75" customHeight="1">
      <c r="A49" s="4"/>
      <c r="B49" s="23"/>
      <c r="C49" s="18"/>
      <c r="D49" s="18"/>
      <c r="E49" s="18"/>
      <c r="F49" s="18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5.75" customHeight="1">
      <c r="A50" s="4"/>
      <c r="B50" s="23"/>
      <c r="C50" s="18"/>
      <c r="D50" s="18"/>
      <c r="E50" s="18"/>
      <c r="F50" s="18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5.75" customHeight="1">
      <c r="A51" s="4"/>
      <c r="B51" s="23"/>
      <c r="C51" s="18"/>
      <c r="D51" s="18"/>
      <c r="E51" s="18"/>
      <c r="F51" s="18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5.75" customHeight="1">
      <c r="A52" s="4"/>
      <c r="B52" s="23"/>
      <c r="C52" s="18"/>
      <c r="D52" s="18"/>
      <c r="E52" s="18"/>
      <c r="F52" s="18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5.75" customHeight="1">
      <c r="A53" s="4"/>
      <c r="B53" s="23"/>
      <c r="C53" s="18"/>
      <c r="D53" s="18"/>
      <c r="E53" s="18"/>
      <c r="F53" s="18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5.75" customHeight="1">
      <c r="A54" s="4"/>
      <c r="B54" s="23"/>
      <c r="C54" s="18"/>
      <c r="D54" s="18"/>
      <c r="E54" s="18"/>
      <c r="F54" s="18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5.75" customHeight="1">
      <c r="A55" s="4"/>
      <c r="B55" s="23"/>
      <c r="C55" s="18"/>
      <c r="D55" s="18"/>
      <c r="E55" s="18"/>
      <c r="F55" s="18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5.75" customHeight="1">
      <c r="A56" s="4"/>
      <c r="B56" s="23"/>
      <c r="C56" s="18"/>
      <c r="D56" s="18"/>
      <c r="E56" s="18"/>
      <c r="F56" s="18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5.75" customHeight="1">
      <c r="A57" s="4"/>
      <c r="B57" s="23"/>
      <c r="C57" s="18"/>
      <c r="D57" s="18"/>
      <c r="E57" s="18"/>
      <c r="F57" s="18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5.75" customHeight="1">
      <c r="A58" s="4"/>
      <c r="B58" s="23"/>
      <c r="C58" s="18"/>
      <c r="D58" s="18"/>
      <c r="E58" s="18"/>
      <c r="F58" s="18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5.75" customHeight="1">
      <c r="A59" s="4"/>
      <c r="B59" s="23"/>
      <c r="C59" s="18"/>
      <c r="D59" s="18"/>
      <c r="E59" s="18"/>
      <c r="F59" s="18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5.75" customHeight="1">
      <c r="A60" s="4"/>
      <c r="B60" s="23"/>
      <c r="C60" s="18"/>
      <c r="D60" s="18"/>
      <c r="E60" s="18"/>
      <c r="F60" s="18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5.75" customHeight="1">
      <c r="A61" s="4"/>
      <c r="B61" s="23"/>
      <c r="C61" s="18"/>
      <c r="D61" s="18"/>
      <c r="E61" s="18"/>
      <c r="F61" s="18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5.75" customHeight="1">
      <c r="A62" s="4"/>
      <c r="B62" s="23"/>
      <c r="C62" s="18"/>
      <c r="D62" s="18"/>
      <c r="E62" s="18"/>
      <c r="F62" s="18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5.75" customHeight="1">
      <c r="A63" s="4"/>
      <c r="B63" s="23"/>
      <c r="C63" s="18"/>
      <c r="D63" s="18"/>
      <c r="E63" s="18"/>
      <c r="F63" s="18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5.75" customHeight="1">
      <c r="A64" s="4"/>
      <c r="B64" s="23"/>
      <c r="C64" s="18"/>
      <c r="D64" s="18"/>
      <c r="E64" s="18"/>
      <c r="F64" s="18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5.75" customHeight="1">
      <c r="A65" s="4"/>
      <c r="B65" s="23"/>
      <c r="C65" s="18"/>
      <c r="D65" s="18"/>
      <c r="E65" s="18"/>
      <c r="F65" s="18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5.75" customHeight="1">
      <c r="A66" s="4"/>
      <c r="B66" s="23"/>
      <c r="C66" s="18"/>
      <c r="D66" s="18"/>
      <c r="E66" s="18"/>
      <c r="F66" s="18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5.75" customHeight="1">
      <c r="A67" s="4"/>
      <c r="B67" s="23"/>
      <c r="C67" s="18"/>
      <c r="D67" s="18"/>
      <c r="E67" s="18"/>
      <c r="F67" s="18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5.75" customHeight="1">
      <c r="A68" s="4"/>
      <c r="B68" s="23"/>
      <c r="C68" s="18"/>
      <c r="D68" s="18"/>
      <c r="E68" s="18"/>
      <c r="F68" s="18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5.75" customHeight="1">
      <c r="A69" s="4"/>
      <c r="B69" s="23"/>
      <c r="C69" s="18"/>
      <c r="D69" s="18"/>
      <c r="E69" s="18"/>
      <c r="F69" s="18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5.75" customHeight="1">
      <c r="A70" s="4"/>
      <c r="B70" s="23"/>
      <c r="C70" s="18"/>
      <c r="D70" s="18"/>
      <c r="E70" s="18"/>
      <c r="F70" s="18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5.75" customHeight="1">
      <c r="A71" s="4"/>
      <c r="B71" s="23"/>
      <c r="C71" s="18"/>
      <c r="D71" s="18"/>
      <c r="E71" s="18"/>
      <c r="F71" s="18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5.75" customHeight="1">
      <c r="A72" s="4"/>
      <c r="B72" s="23"/>
      <c r="C72" s="18"/>
      <c r="D72" s="18"/>
      <c r="E72" s="18"/>
      <c r="F72" s="18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5.75" customHeight="1">
      <c r="A73" s="4"/>
      <c r="B73" s="23"/>
      <c r="C73" s="18"/>
      <c r="D73" s="18"/>
      <c r="E73" s="18"/>
      <c r="F73" s="18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5.75" customHeight="1">
      <c r="A74" s="4"/>
      <c r="B74" s="23"/>
      <c r="C74" s="18"/>
      <c r="D74" s="18"/>
      <c r="E74" s="18"/>
      <c r="F74" s="18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5.75" customHeight="1">
      <c r="A75" s="4"/>
      <c r="B75" s="23"/>
      <c r="C75" s="18"/>
      <c r="D75" s="18"/>
      <c r="E75" s="18"/>
      <c r="F75" s="18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5.75" customHeight="1">
      <c r="A76" s="4"/>
      <c r="B76" s="23"/>
      <c r="C76" s="18"/>
      <c r="D76" s="18"/>
      <c r="E76" s="18"/>
      <c r="F76" s="18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5.75" customHeight="1">
      <c r="A77" s="4"/>
      <c r="B77" s="23"/>
      <c r="C77" s="18"/>
      <c r="D77" s="18"/>
      <c r="E77" s="18"/>
      <c r="F77" s="18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5.75" customHeight="1">
      <c r="A78" s="4"/>
      <c r="B78" s="23"/>
      <c r="C78" s="18"/>
      <c r="D78" s="18"/>
      <c r="E78" s="18"/>
      <c r="F78" s="18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5.75" customHeight="1">
      <c r="A79" s="4"/>
      <c r="B79" s="23"/>
      <c r="C79" s="18"/>
      <c r="D79" s="18"/>
      <c r="E79" s="18"/>
      <c r="F79" s="18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5.75" customHeight="1">
      <c r="A80" s="4"/>
      <c r="B80" s="23"/>
      <c r="C80" s="18"/>
      <c r="D80" s="18"/>
      <c r="E80" s="18"/>
      <c r="F80" s="18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5.75" customHeight="1">
      <c r="A81" s="4"/>
      <c r="B81" s="23"/>
      <c r="C81" s="18"/>
      <c r="D81" s="18"/>
      <c r="E81" s="18"/>
      <c r="F81" s="18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5.75" customHeight="1">
      <c r="A82" s="4"/>
      <c r="B82" s="23"/>
      <c r="C82" s="18"/>
      <c r="D82" s="18"/>
      <c r="E82" s="18"/>
      <c r="F82" s="18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5.75" customHeight="1">
      <c r="A83" s="4"/>
      <c r="B83" s="23"/>
      <c r="C83" s="18"/>
      <c r="D83" s="18"/>
      <c r="E83" s="18"/>
      <c r="F83" s="18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5.75" customHeight="1">
      <c r="A84" s="4"/>
      <c r="B84" s="23"/>
      <c r="C84" s="18"/>
      <c r="D84" s="18"/>
      <c r="E84" s="18"/>
      <c r="F84" s="18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5.75" customHeight="1">
      <c r="A85" s="4"/>
      <c r="B85" s="23"/>
      <c r="C85" s="18"/>
      <c r="D85" s="18"/>
      <c r="E85" s="18"/>
      <c r="F85" s="18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5.75" customHeight="1">
      <c r="A86" s="4"/>
      <c r="B86" s="23"/>
      <c r="C86" s="18"/>
      <c r="D86" s="18"/>
      <c r="E86" s="18"/>
      <c r="F86" s="18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5.75" customHeight="1">
      <c r="A87" s="4"/>
      <c r="B87" s="23"/>
      <c r="C87" s="18"/>
      <c r="D87" s="18"/>
      <c r="E87" s="18"/>
      <c r="F87" s="18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5.75" customHeight="1">
      <c r="A88" s="4"/>
      <c r="B88" s="23"/>
      <c r="C88" s="18"/>
      <c r="D88" s="18"/>
      <c r="E88" s="18"/>
      <c r="F88" s="18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5.75" customHeight="1">
      <c r="A89" s="4"/>
      <c r="B89" s="23"/>
      <c r="C89" s="18"/>
      <c r="D89" s="18"/>
      <c r="E89" s="18"/>
      <c r="F89" s="18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5.75" customHeight="1">
      <c r="A90" s="4"/>
      <c r="B90" s="23"/>
      <c r="C90" s="18"/>
      <c r="D90" s="18"/>
      <c r="E90" s="18"/>
      <c r="F90" s="18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5.75" customHeight="1">
      <c r="A91" s="4"/>
      <c r="B91" s="23"/>
      <c r="C91" s="18"/>
      <c r="D91" s="18"/>
      <c r="E91" s="18"/>
      <c r="F91" s="18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5.75" customHeight="1">
      <c r="A92" s="4"/>
      <c r="B92" s="23"/>
      <c r="C92" s="18"/>
      <c r="D92" s="18"/>
      <c r="E92" s="18"/>
      <c r="F92" s="18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5.75" customHeight="1">
      <c r="A93" s="4"/>
      <c r="B93" s="23"/>
      <c r="C93" s="18"/>
      <c r="D93" s="18"/>
      <c r="E93" s="18"/>
      <c r="F93" s="18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5.75" customHeight="1">
      <c r="A94" s="4"/>
      <c r="B94" s="23"/>
      <c r="C94" s="18"/>
      <c r="D94" s="18"/>
      <c r="E94" s="18"/>
      <c r="F94" s="18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5.75" customHeight="1">
      <c r="A95" s="4"/>
      <c r="B95" s="23"/>
      <c r="C95" s="18"/>
      <c r="D95" s="18"/>
      <c r="E95" s="18"/>
      <c r="F95" s="18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5.75" customHeight="1">
      <c r="A96" s="4"/>
      <c r="B96" s="23"/>
      <c r="C96" s="18"/>
      <c r="D96" s="18"/>
      <c r="E96" s="18"/>
      <c r="F96" s="18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5.75" customHeight="1">
      <c r="A97" s="4"/>
      <c r="B97" s="23"/>
      <c r="C97" s="18"/>
      <c r="D97" s="18"/>
      <c r="E97" s="18"/>
      <c r="F97" s="18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5.75" customHeight="1">
      <c r="A98" s="4"/>
      <c r="B98" s="23"/>
      <c r="C98" s="18"/>
      <c r="D98" s="18"/>
      <c r="E98" s="18"/>
      <c r="F98" s="18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5.75" customHeight="1">
      <c r="A99" s="4"/>
      <c r="B99" s="23"/>
      <c r="C99" s="18"/>
      <c r="D99" s="18"/>
      <c r="E99" s="18"/>
      <c r="F99" s="18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5.75" customHeight="1">
      <c r="A100" s="4"/>
      <c r="B100" s="23"/>
      <c r="C100" s="18"/>
      <c r="D100" s="18"/>
      <c r="E100" s="18"/>
      <c r="F100" s="18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5.75" customHeight="1">
      <c r="A101" s="4"/>
      <c r="B101" s="23"/>
      <c r="C101" s="18"/>
      <c r="D101" s="18"/>
      <c r="E101" s="18"/>
      <c r="F101" s="18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5.75" customHeight="1">
      <c r="A102" s="4"/>
      <c r="B102" s="23"/>
      <c r="C102" s="18"/>
      <c r="D102" s="18"/>
      <c r="E102" s="18"/>
      <c r="F102" s="18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5.75" customHeight="1">
      <c r="A103" s="4"/>
      <c r="B103" s="23"/>
      <c r="C103" s="18"/>
      <c r="D103" s="18"/>
      <c r="E103" s="18"/>
      <c r="F103" s="18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5.75" customHeight="1">
      <c r="A104" s="4"/>
      <c r="B104" s="23"/>
      <c r="C104" s="18"/>
      <c r="D104" s="18"/>
      <c r="E104" s="18"/>
      <c r="F104" s="18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5.75" customHeight="1">
      <c r="A105" s="4"/>
      <c r="B105" s="23"/>
      <c r="C105" s="18"/>
      <c r="D105" s="18"/>
      <c r="E105" s="18"/>
      <c r="F105" s="18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5.75" customHeight="1">
      <c r="A106" s="4"/>
      <c r="B106" s="23"/>
      <c r="C106" s="18"/>
      <c r="D106" s="18"/>
      <c r="E106" s="18"/>
      <c r="F106" s="18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5.75" customHeight="1">
      <c r="A107" s="4"/>
      <c r="B107" s="23"/>
      <c r="C107" s="18"/>
      <c r="D107" s="18"/>
      <c r="E107" s="18"/>
      <c r="F107" s="18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5.75" customHeight="1">
      <c r="A108" s="4"/>
      <c r="B108" s="23"/>
      <c r="C108" s="18"/>
      <c r="D108" s="18"/>
      <c r="E108" s="18"/>
      <c r="F108" s="18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5.75" customHeight="1">
      <c r="A109" s="4"/>
      <c r="B109" s="23"/>
      <c r="C109" s="18"/>
      <c r="D109" s="18"/>
      <c r="E109" s="18"/>
      <c r="F109" s="18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5.75" customHeight="1">
      <c r="A110" s="4"/>
      <c r="B110" s="23"/>
      <c r="C110" s="18"/>
      <c r="D110" s="18"/>
      <c r="E110" s="18"/>
      <c r="F110" s="18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5.75" customHeight="1">
      <c r="A111" s="4"/>
      <c r="B111" s="23"/>
      <c r="C111" s="18"/>
      <c r="D111" s="18"/>
      <c r="E111" s="18"/>
      <c r="F111" s="18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5.75" customHeight="1">
      <c r="A112" s="4"/>
      <c r="B112" s="23"/>
      <c r="C112" s="18"/>
      <c r="D112" s="18"/>
      <c r="E112" s="18"/>
      <c r="F112" s="18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5.75" customHeight="1">
      <c r="A113" s="4"/>
      <c r="B113" s="23"/>
      <c r="C113" s="18"/>
      <c r="D113" s="18"/>
      <c r="E113" s="18"/>
      <c r="F113" s="18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5.75" customHeight="1">
      <c r="A114" s="4"/>
      <c r="B114" s="23"/>
      <c r="C114" s="18"/>
      <c r="D114" s="18"/>
      <c r="E114" s="18"/>
      <c r="F114" s="18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5.75" customHeight="1">
      <c r="A115" s="4"/>
      <c r="B115" s="23"/>
      <c r="C115" s="18"/>
      <c r="D115" s="18"/>
      <c r="E115" s="18"/>
      <c r="F115" s="18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5.75" customHeight="1">
      <c r="A116" s="4"/>
      <c r="B116" s="23"/>
      <c r="C116" s="18"/>
      <c r="D116" s="18"/>
      <c r="E116" s="18"/>
      <c r="F116" s="18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5.75" customHeight="1">
      <c r="A117" s="4"/>
      <c r="B117" s="23"/>
      <c r="C117" s="18"/>
      <c r="D117" s="18"/>
      <c r="E117" s="18"/>
      <c r="F117" s="18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5.75" customHeight="1">
      <c r="A118" s="4"/>
      <c r="B118" s="23"/>
      <c r="C118" s="18"/>
      <c r="D118" s="18"/>
      <c r="E118" s="18"/>
      <c r="F118" s="18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5.75" customHeight="1">
      <c r="A119" s="4"/>
      <c r="B119" s="23"/>
      <c r="C119" s="18"/>
      <c r="D119" s="18"/>
      <c r="E119" s="18"/>
      <c r="F119" s="18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5.75" customHeight="1">
      <c r="A120" s="4"/>
      <c r="B120" s="23"/>
      <c r="C120" s="18"/>
      <c r="D120" s="18"/>
      <c r="E120" s="18"/>
      <c r="F120" s="18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5.75" customHeight="1">
      <c r="A121" s="4"/>
      <c r="B121" s="23"/>
      <c r="C121" s="18"/>
      <c r="D121" s="18"/>
      <c r="E121" s="18"/>
      <c r="F121" s="18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5.75" customHeight="1">
      <c r="A122" s="4"/>
      <c r="B122" s="23"/>
      <c r="C122" s="18"/>
      <c r="D122" s="18"/>
      <c r="E122" s="18"/>
      <c r="F122" s="18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5.75" customHeight="1">
      <c r="A123" s="4"/>
      <c r="B123" s="23"/>
      <c r="C123" s="18"/>
      <c r="D123" s="18"/>
      <c r="E123" s="18"/>
      <c r="F123" s="18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5.75" customHeight="1">
      <c r="A124" s="4"/>
      <c r="B124" s="23"/>
      <c r="C124" s="18"/>
      <c r="D124" s="18"/>
      <c r="E124" s="18"/>
      <c r="F124" s="18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5.75" customHeight="1">
      <c r="A125" s="4"/>
      <c r="B125" s="23"/>
      <c r="C125" s="18"/>
      <c r="D125" s="18"/>
      <c r="E125" s="18"/>
      <c r="F125" s="18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5.75" customHeight="1">
      <c r="A126" s="4"/>
      <c r="B126" s="23"/>
      <c r="C126" s="18"/>
      <c r="D126" s="18"/>
      <c r="E126" s="18"/>
      <c r="F126" s="18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5.75" customHeight="1">
      <c r="A127" s="4"/>
      <c r="B127" s="23"/>
      <c r="C127" s="18"/>
      <c r="D127" s="18"/>
      <c r="E127" s="18"/>
      <c r="F127" s="18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5.75" customHeight="1">
      <c r="A128" s="4"/>
      <c r="B128" s="23"/>
      <c r="C128" s="18"/>
      <c r="D128" s="18"/>
      <c r="E128" s="18"/>
      <c r="F128" s="18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5.75" customHeight="1">
      <c r="A129" s="4"/>
      <c r="B129" s="23"/>
      <c r="C129" s="18"/>
      <c r="D129" s="18"/>
      <c r="E129" s="18"/>
      <c r="F129" s="18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5.75" customHeight="1">
      <c r="A130" s="4"/>
      <c r="B130" s="23"/>
      <c r="C130" s="18"/>
      <c r="D130" s="18"/>
      <c r="E130" s="18"/>
      <c r="F130" s="18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5.75" customHeight="1">
      <c r="A131" s="4"/>
      <c r="B131" s="23"/>
      <c r="C131" s="18"/>
      <c r="D131" s="18"/>
      <c r="E131" s="18"/>
      <c r="F131" s="18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5.75" customHeight="1">
      <c r="A132" s="4"/>
      <c r="B132" s="23"/>
      <c r="C132" s="18"/>
      <c r="D132" s="18"/>
      <c r="E132" s="18"/>
      <c r="F132" s="18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5.75" customHeight="1">
      <c r="A133" s="4"/>
      <c r="B133" s="23"/>
      <c r="C133" s="18"/>
      <c r="D133" s="18"/>
      <c r="E133" s="18"/>
      <c r="F133" s="18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5.75" customHeight="1">
      <c r="A134" s="4"/>
      <c r="B134" s="23"/>
      <c r="C134" s="18"/>
      <c r="D134" s="18"/>
      <c r="E134" s="18"/>
      <c r="F134" s="18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5.75" customHeight="1">
      <c r="A135" s="4"/>
      <c r="B135" s="23"/>
      <c r="C135" s="18"/>
      <c r="D135" s="18"/>
      <c r="E135" s="18"/>
      <c r="F135" s="18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5.75" customHeight="1">
      <c r="A136" s="4"/>
      <c r="B136" s="23"/>
      <c r="C136" s="18"/>
      <c r="D136" s="18"/>
      <c r="E136" s="18"/>
      <c r="F136" s="18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5.75" customHeight="1">
      <c r="A137" s="4"/>
      <c r="B137" s="23"/>
      <c r="C137" s="18"/>
      <c r="D137" s="18"/>
      <c r="E137" s="18"/>
      <c r="F137" s="18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5.75" customHeight="1">
      <c r="A138" s="4"/>
      <c r="B138" s="23"/>
      <c r="C138" s="18"/>
      <c r="D138" s="18"/>
      <c r="E138" s="18"/>
      <c r="F138" s="18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5.75" customHeight="1">
      <c r="A139" s="4"/>
      <c r="B139" s="23"/>
      <c r="C139" s="18"/>
      <c r="D139" s="18"/>
      <c r="E139" s="18"/>
      <c r="F139" s="18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5.75" customHeight="1">
      <c r="A140" s="4"/>
      <c r="B140" s="23"/>
      <c r="C140" s="18"/>
      <c r="D140" s="18"/>
      <c r="E140" s="18"/>
      <c r="F140" s="18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5.75" customHeight="1">
      <c r="A141" s="4"/>
      <c r="B141" s="23"/>
      <c r="C141" s="18"/>
      <c r="D141" s="18"/>
      <c r="E141" s="18"/>
      <c r="F141" s="18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5.75" customHeight="1">
      <c r="A142" s="4"/>
      <c r="B142" s="23"/>
      <c r="C142" s="18"/>
      <c r="D142" s="18"/>
      <c r="E142" s="18"/>
      <c r="F142" s="18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5.75" customHeight="1">
      <c r="A143" s="4"/>
      <c r="B143" s="23"/>
      <c r="C143" s="18"/>
      <c r="D143" s="18"/>
      <c r="E143" s="18"/>
      <c r="F143" s="18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5.75" customHeight="1">
      <c r="A144" s="4"/>
      <c r="B144" s="23"/>
      <c r="C144" s="18"/>
      <c r="D144" s="18"/>
      <c r="E144" s="18"/>
      <c r="F144" s="18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5.75" customHeight="1">
      <c r="A145" s="4"/>
      <c r="B145" s="23"/>
      <c r="C145" s="18"/>
      <c r="D145" s="18"/>
      <c r="E145" s="18"/>
      <c r="F145" s="18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5.75" customHeight="1">
      <c r="A146" s="4"/>
      <c r="B146" s="23"/>
      <c r="C146" s="18"/>
      <c r="D146" s="18"/>
      <c r="E146" s="18"/>
      <c r="F146" s="18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5.75" customHeight="1">
      <c r="A147" s="4"/>
      <c r="B147" s="23"/>
      <c r="C147" s="18"/>
      <c r="D147" s="18"/>
      <c r="E147" s="18"/>
      <c r="F147" s="18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5.75" customHeight="1">
      <c r="A148" s="4"/>
      <c r="B148" s="23"/>
      <c r="C148" s="18"/>
      <c r="D148" s="18"/>
      <c r="E148" s="18"/>
      <c r="F148" s="18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5.75" customHeight="1">
      <c r="A149" s="4"/>
      <c r="B149" s="23"/>
      <c r="C149" s="18"/>
      <c r="D149" s="18"/>
      <c r="E149" s="18"/>
      <c r="F149" s="18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5.75" customHeight="1">
      <c r="A150" s="4"/>
      <c r="B150" s="23"/>
      <c r="C150" s="18"/>
      <c r="D150" s="18"/>
      <c r="E150" s="18"/>
      <c r="F150" s="18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5.75" customHeight="1">
      <c r="A151" s="4"/>
      <c r="B151" s="23"/>
      <c r="C151" s="18"/>
      <c r="D151" s="18"/>
      <c r="E151" s="18"/>
      <c r="F151" s="18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5.75" customHeight="1">
      <c r="A152" s="4"/>
      <c r="B152" s="23"/>
      <c r="C152" s="18"/>
      <c r="D152" s="18"/>
      <c r="E152" s="18"/>
      <c r="F152" s="18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5.75" customHeight="1">
      <c r="A153" s="4"/>
      <c r="B153" s="23"/>
      <c r="C153" s="18"/>
      <c r="D153" s="18"/>
      <c r="E153" s="18"/>
      <c r="F153" s="18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5.75" customHeight="1">
      <c r="A154" s="4"/>
      <c r="B154" s="23"/>
      <c r="C154" s="18"/>
      <c r="D154" s="18"/>
      <c r="E154" s="18"/>
      <c r="F154" s="18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5.75" customHeight="1">
      <c r="A155" s="4"/>
      <c r="B155" s="23"/>
      <c r="C155" s="18"/>
      <c r="D155" s="18"/>
      <c r="E155" s="18"/>
      <c r="F155" s="18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5.75" customHeight="1">
      <c r="A156" s="4"/>
      <c r="B156" s="23"/>
      <c r="C156" s="18"/>
      <c r="D156" s="18"/>
      <c r="E156" s="18"/>
      <c r="F156" s="18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5.75" customHeight="1">
      <c r="A157" s="4"/>
      <c r="B157" s="23"/>
      <c r="C157" s="18"/>
      <c r="D157" s="18"/>
      <c r="E157" s="18"/>
      <c r="F157" s="18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5.75" customHeight="1">
      <c r="A158" s="4"/>
      <c r="B158" s="23"/>
      <c r="C158" s="18"/>
      <c r="D158" s="18"/>
      <c r="E158" s="18"/>
      <c r="F158" s="18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5.75" customHeight="1">
      <c r="A159" s="4"/>
      <c r="B159" s="23"/>
      <c r="C159" s="18"/>
      <c r="D159" s="18"/>
      <c r="E159" s="18"/>
      <c r="F159" s="18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5.75" customHeight="1">
      <c r="A160" s="4"/>
      <c r="B160" s="23"/>
      <c r="C160" s="18"/>
      <c r="D160" s="18"/>
      <c r="E160" s="18"/>
      <c r="F160" s="18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5.75" customHeight="1">
      <c r="A161" s="4"/>
      <c r="B161" s="23"/>
      <c r="C161" s="18"/>
      <c r="D161" s="18"/>
      <c r="E161" s="18"/>
      <c r="F161" s="18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5.75" customHeight="1">
      <c r="A162" s="4"/>
      <c r="B162" s="23"/>
      <c r="C162" s="18"/>
      <c r="D162" s="18"/>
      <c r="E162" s="18"/>
      <c r="F162" s="18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5.75" customHeight="1">
      <c r="A163" s="4"/>
      <c r="B163" s="23"/>
      <c r="C163" s="18"/>
      <c r="D163" s="18"/>
      <c r="E163" s="18"/>
      <c r="F163" s="18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5.75" customHeight="1">
      <c r="A164" s="4"/>
      <c r="B164" s="23"/>
      <c r="C164" s="18"/>
      <c r="D164" s="18"/>
      <c r="E164" s="18"/>
      <c r="F164" s="18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5.75" customHeight="1">
      <c r="A165" s="4"/>
      <c r="B165" s="23"/>
      <c r="C165" s="18"/>
      <c r="D165" s="18"/>
      <c r="E165" s="18"/>
      <c r="F165" s="18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5.75" customHeight="1">
      <c r="A166" s="4"/>
      <c r="B166" s="23"/>
      <c r="C166" s="18"/>
      <c r="D166" s="18"/>
      <c r="E166" s="18"/>
      <c r="F166" s="18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5.75" customHeight="1">
      <c r="A167" s="4"/>
      <c r="B167" s="23"/>
      <c r="C167" s="18"/>
      <c r="D167" s="18"/>
      <c r="E167" s="18"/>
      <c r="F167" s="18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5.75" customHeight="1">
      <c r="A168" s="4"/>
      <c r="B168" s="23"/>
      <c r="C168" s="18"/>
      <c r="D168" s="18"/>
      <c r="E168" s="18"/>
      <c r="F168" s="18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5.75" customHeight="1">
      <c r="A169" s="4"/>
      <c r="B169" s="23"/>
      <c r="C169" s="18"/>
      <c r="D169" s="18"/>
      <c r="E169" s="18"/>
      <c r="F169" s="18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5.75" customHeight="1">
      <c r="A170" s="4"/>
      <c r="B170" s="23"/>
      <c r="C170" s="18"/>
      <c r="D170" s="18"/>
      <c r="E170" s="18"/>
      <c r="F170" s="18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5.75" customHeight="1">
      <c r="A171" s="4"/>
      <c r="B171" s="23"/>
      <c r="C171" s="18"/>
      <c r="D171" s="18"/>
      <c r="E171" s="18"/>
      <c r="F171" s="18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5.75" customHeight="1">
      <c r="A172" s="4"/>
      <c r="B172" s="23"/>
      <c r="C172" s="18"/>
      <c r="D172" s="18"/>
      <c r="E172" s="18"/>
      <c r="F172" s="18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5.75" customHeight="1">
      <c r="A173" s="4"/>
      <c r="B173" s="23"/>
      <c r="C173" s="18"/>
      <c r="D173" s="18"/>
      <c r="E173" s="18"/>
      <c r="F173" s="18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5.75" customHeight="1">
      <c r="A174" s="4"/>
      <c r="B174" s="23"/>
      <c r="C174" s="18"/>
      <c r="D174" s="18"/>
      <c r="E174" s="18"/>
      <c r="F174" s="18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5.75" customHeight="1">
      <c r="A175" s="4"/>
      <c r="B175" s="23"/>
      <c r="C175" s="18"/>
      <c r="D175" s="18"/>
      <c r="E175" s="18"/>
      <c r="F175" s="18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5.75" customHeight="1">
      <c r="A176" s="4"/>
      <c r="B176" s="23"/>
      <c r="C176" s="18"/>
      <c r="D176" s="18"/>
      <c r="E176" s="18"/>
      <c r="F176" s="18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5.75" customHeight="1">
      <c r="A177" s="4"/>
      <c r="B177" s="23"/>
      <c r="C177" s="18"/>
      <c r="D177" s="18"/>
      <c r="E177" s="18"/>
      <c r="F177" s="18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5.75" customHeight="1">
      <c r="A178" s="4"/>
      <c r="B178" s="23"/>
      <c r="C178" s="18"/>
      <c r="D178" s="18"/>
      <c r="E178" s="18"/>
      <c r="F178" s="18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5.75" customHeight="1">
      <c r="A179" s="4"/>
      <c r="B179" s="23"/>
      <c r="C179" s="18"/>
      <c r="D179" s="18"/>
      <c r="E179" s="18"/>
      <c r="F179" s="18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5.75" customHeight="1">
      <c r="A180" s="4"/>
      <c r="B180" s="23"/>
      <c r="C180" s="18"/>
      <c r="D180" s="18"/>
      <c r="E180" s="18"/>
      <c r="F180" s="18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5.75" customHeight="1">
      <c r="A181" s="4"/>
      <c r="B181" s="23"/>
      <c r="C181" s="18"/>
      <c r="D181" s="18"/>
      <c r="E181" s="18"/>
      <c r="F181" s="18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5.75" customHeight="1">
      <c r="A182" s="4"/>
      <c r="B182" s="23"/>
      <c r="C182" s="18"/>
      <c r="D182" s="18"/>
      <c r="E182" s="18"/>
      <c r="F182" s="18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5.75" customHeight="1">
      <c r="A183" s="4"/>
      <c r="B183" s="23"/>
      <c r="C183" s="18"/>
      <c r="D183" s="18"/>
      <c r="E183" s="18"/>
      <c r="F183" s="18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5.75" customHeight="1">
      <c r="A184" s="4"/>
      <c r="B184" s="23"/>
      <c r="C184" s="18"/>
      <c r="D184" s="18"/>
      <c r="E184" s="18"/>
      <c r="F184" s="18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5.75" customHeight="1">
      <c r="A185" s="4"/>
      <c r="B185" s="23"/>
      <c r="C185" s="18"/>
      <c r="D185" s="18"/>
      <c r="E185" s="18"/>
      <c r="F185" s="18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5.75" customHeight="1">
      <c r="A186" s="4"/>
      <c r="B186" s="23"/>
      <c r="C186" s="18"/>
      <c r="D186" s="18"/>
      <c r="E186" s="18"/>
      <c r="F186" s="18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5.75" customHeight="1">
      <c r="A187" s="4"/>
      <c r="B187" s="23"/>
      <c r="C187" s="18"/>
      <c r="D187" s="18"/>
      <c r="E187" s="18"/>
      <c r="F187" s="18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5.75" customHeight="1">
      <c r="A188" s="4"/>
      <c r="B188" s="23"/>
      <c r="C188" s="18"/>
      <c r="D188" s="18"/>
      <c r="E188" s="18"/>
      <c r="F188" s="18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5.75" customHeight="1">
      <c r="A189" s="4"/>
      <c r="B189" s="23"/>
      <c r="C189" s="18"/>
      <c r="D189" s="18"/>
      <c r="E189" s="18"/>
      <c r="F189" s="18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5.75" customHeight="1">
      <c r="A190" s="4"/>
      <c r="B190" s="23"/>
      <c r="C190" s="18"/>
      <c r="D190" s="18"/>
      <c r="E190" s="18"/>
      <c r="F190" s="18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5.75" customHeight="1">
      <c r="A191" s="4"/>
      <c r="B191" s="23"/>
      <c r="C191" s="18"/>
      <c r="D191" s="18"/>
      <c r="E191" s="18"/>
      <c r="F191" s="18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5.75" customHeight="1">
      <c r="A192" s="4"/>
      <c r="B192" s="23"/>
      <c r="C192" s="18"/>
      <c r="D192" s="18"/>
      <c r="E192" s="18"/>
      <c r="F192" s="18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5.75" customHeight="1">
      <c r="A193" s="4"/>
      <c r="B193" s="23"/>
      <c r="C193" s="18"/>
      <c r="D193" s="18"/>
      <c r="E193" s="18"/>
      <c r="F193" s="18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5.75" customHeight="1">
      <c r="A194" s="4"/>
      <c r="B194" s="23"/>
      <c r="C194" s="18"/>
      <c r="D194" s="18"/>
      <c r="E194" s="18"/>
      <c r="F194" s="18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5.75" customHeight="1">
      <c r="A195" s="4"/>
      <c r="B195" s="23"/>
      <c r="C195" s="18"/>
      <c r="D195" s="18"/>
      <c r="E195" s="18"/>
      <c r="F195" s="18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5.75" customHeight="1">
      <c r="A196" s="4"/>
      <c r="B196" s="23"/>
      <c r="C196" s="18"/>
      <c r="D196" s="18"/>
      <c r="E196" s="18"/>
      <c r="F196" s="18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5.75" customHeight="1">
      <c r="A197" s="4"/>
      <c r="B197" s="23"/>
      <c r="C197" s="18"/>
      <c r="D197" s="18"/>
      <c r="E197" s="18"/>
      <c r="F197" s="18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5.75" customHeight="1">
      <c r="A198" s="4"/>
      <c r="B198" s="23"/>
      <c r="C198" s="18"/>
      <c r="D198" s="18"/>
      <c r="E198" s="18"/>
      <c r="F198" s="18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5.75" customHeight="1">
      <c r="A199" s="4"/>
      <c r="B199" s="23"/>
      <c r="C199" s="18"/>
      <c r="D199" s="18"/>
      <c r="E199" s="18"/>
      <c r="F199" s="18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5.75" customHeight="1">
      <c r="A200" s="4"/>
      <c r="B200" s="23"/>
      <c r="C200" s="18"/>
      <c r="D200" s="18"/>
      <c r="E200" s="18"/>
      <c r="F200" s="18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5.75" customHeight="1">
      <c r="A201" s="4"/>
      <c r="B201" s="23"/>
      <c r="C201" s="18"/>
      <c r="D201" s="18"/>
      <c r="E201" s="18"/>
      <c r="F201" s="18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5.75" customHeight="1">
      <c r="A202" s="4"/>
      <c r="B202" s="23"/>
      <c r="C202" s="18"/>
      <c r="D202" s="18"/>
      <c r="E202" s="18"/>
      <c r="F202" s="18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5.75" customHeight="1">
      <c r="A203" s="4"/>
      <c r="B203" s="23"/>
      <c r="C203" s="18"/>
      <c r="D203" s="18"/>
      <c r="E203" s="18"/>
      <c r="F203" s="18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5.75" customHeight="1">
      <c r="A204" s="4"/>
      <c r="B204" s="23"/>
      <c r="C204" s="18"/>
      <c r="D204" s="18"/>
      <c r="E204" s="18"/>
      <c r="F204" s="18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5.75" customHeight="1">
      <c r="A205" s="4"/>
      <c r="B205" s="23"/>
      <c r="C205" s="18"/>
      <c r="D205" s="18"/>
      <c r="E205" s="18"/>
      <c r="F205" s="18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5.75" customHeight="1">
      <c r="A206" s="4"/>
      <c r="B206" s="23"/>
      <c r="C206" s="18"/>
      <c r="D206" s="18"/>
      <c r="E206" s="18"/>
      <c r="F206" s="18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5.75" customHeight="1">
      <c r="A207" s="4"/>
      <c r="B207" s="23"/>
      <c r="C207" s="18"/>
      <c r="D207" s="18"/>
      <c r="E207" s="18"/>
      <c r="F207" s="18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5.75" customHeight="1">
      <c r="A208" s="4"/>
      <c r="B208" s="23"/>
      <c r="C208" s="18"/>
      <c r="D208" s="18"/>
      <c r="E208" s="18"/>
      <c r="F208" s="18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5.75" customHeight="1">
      <c r="A209" s="4"/>
      <c r="B209" s="23"/>
      <c r="C209" s="18"/>
      <c r="D209" s="18"/>
      <c r="E209" s="18"/>
      <c r="F209" s="18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5.75" customHeight="1">
      <c r="A210" s="4"/>
      <c r="B210" s="23"/>
      <c r="C210" s="18"/>
      <c r="D210" s="18"/>
      <c r="E210" s="18"/>
      <c r="F210" s="18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5.75" customHeight="1">
      <c r="A211" s="4"/>
      <c r="B211" s="23"/>
      <c r="C211" s="18"/>
      <c r="D211" s="18"/>
      <c r="E211" s="18"/>
      <c r="F211" s="18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5.75" customHeight="1">
      <c r="A212" s="4"/>
      <c r="B212" s="23"/>
      <c r="C212" s="18"/>
      <c r="D212" s="18"/>
      <c r="E212" s="18"/>
      <c r="F212" s="18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5.75" customHeight="1">
      <c r="A213" s="4"/>
      <c r="B213" s="23"/>
      <c r="C213" s="18"/>
      <c r="D213" s="18"/>
      <c r="E213" s="18"/>
      <c r="F213" s="18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5.75" customHeight="1">
      <c r="A214" s="4"/>
      <c r="B214" s="23"/>
      <c r="C214" s="18"/>
      <c r="D214" s="18"/>
      <c r="E214" s="18"/>
      <c r="F214" s="18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5.75" customHeight="1">
      <c r="A215" s="4"/>
      <c r="B215" s="23"/>
      <c r="C215" s="18"/>
      <c r="D215" s="18"/>
      <c r="E215" s="18"/>
      <c r="F215" s="18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5.75" customHeight="1">
      <c r="A216" s="4"/>
      <c r="B216" s="23"/>
      <c r="C216" s="18"/>
      <c r="D216" s="18"/>
      <c r="E216" s="18"/>
      <c r="F216" s="18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5.75" customHeight="1">
      <c r="A217" s="4"/>
      <c r="B217" s="23"/>
      <c r="C217" s="18"/>
      <c r="D217" s="18"/>
      <c r="E217" s="18"/>
      <c r="F217" s="18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5.75" customHeight="1">
      <c r="A218" s="4"/>
      <c r="B218" s="23"/>
      <c r="C218" s="18"/>
      <c r="D218" s="18"/>
      <c r="E218" s="18"/>
      <c r="F218" s="18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5.75" customHeight="1">
      <c r="A219" s="4"/>
      <c r="B219" s="23"/>
      <c r="C219" s="18"/>
      <c r="D219" s="18"/>
      <c r="E219" s="18"/>
      <c r="F219" s="18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5.75" customHeight="1">
      <c r="A220" s="4"/>
      <c r="B220" s="23"/>
      <c r="C220" s="18"/>
      <c r="D220" s="18"/>
      <c r="E220" s="18"/>
      <c r="F220" s="18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5.75" customHeight="1">
      <c r="A221" s="4"/>
      <c r="B221" s="23"/>
      <c r="C221" s="18"/>
      <c r="D221" s="18"/>
      <c r="E221" s="18"/>
      <c r="F221" s="18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5.75" customHeight="1">
      <c r="A222" s="4"/>
      <c r="B222" s="23"/>
      <c r="C222" s="18"/>
      <c r="D222" s="18"/>
      <c r="E222" s="18"/>
      <c r="F222" s="18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5.75" customHeight="1">
      <c r="A223" s="4"/>
      <c r="B223" s="23"/>
      <c r="C223" s="18"/>
      <c r="D223" s="18"/>
      <c r="E223" s="18"/>
      <c r="F223" s="18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5.75" customHeight="1">
      <c r="A224" s="4"/>
      <c r="B224" s="23"/>
      <c r="C224" s="18"/>
      <c r="D224" s="18"/>
      <c r="E224" s="18"/>
      <c r="F224" s="18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5.75" customHeight="1">
      <c r="A225" s="4"/>
      <c r="B225" s="23"/>
      <c r="C225" s="18"/>
      <c r="D225" s="18"/>
      <c r="E225" s="18"/>
      <c r="F225" s="18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34.0"/>
    <col customWidth="1" min="2" max="6" width="16.0"/>
    <col customWidth="1" min="7" max="26" width="8.71"/>
  </cols>
  <sheetData>
    <row r="1" ht="17.25" customHeight="1">
      <c r="A1" s="24" t="s">
        <v>149</v>
      </c>
      <c r="B1" s="2"/>
      <c r="C1" s="2"/>
      <c r="D1" s="2"/>
      <c r="E1" s="2"/>
      <c r="F1" s="2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3.25" customHeight="1">
      <c r="A2" s="25" t="s">
        <v>150</v>
      </c>
      <c r="B2" s="2"/>
      <c r="C2" s="2"/>
      <c r="D2" s="2"/>
      <c r="E2" s="2"/>
      <c r="F2" s="2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7.25" customHeight="1">
      <c r="A3" s="7"/>
      <c r="B3" s="26"/>
      <c r="C3" s="26"/>
      <c r="D3" s="26"/>
      <c r="E3" s="26"/>
      <c r="F3" s="26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7.25" customHeight="1">
      <c r="A4" s="2" t="s">
        <v>151</v>
      </c>
      <c r="B4" s="16">
        <f>WACC!$B$20-0.01</f>
        <v>0.005</v>
      </c>
      <c r="C4" s="16">
        <f>WACC!$B$20-0.005</f>
        <v>0.01</v>
      </c>
      <c r="D4" s="16">
        <f>WACC!$B$20</f>
        <v>0.015</v>
      </c>
      <c r="E4" s="16">
        <f>WACC!$B$20+0.005</f>
        <v>0.02</v>
      </c>
      <c r="F4" s="16">
        <f>WACC!$B$20+0.01</f>
        <v>0.025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7.25" customHeight="1">
      <c r="A5" s="16">
        <f>WACC!$B$19-0.01</f>
        <v>0.07793444424</v>
      </c>
      <c r="B5" s="8">
        <f>((DCF!$B$10/(1+$A5)^1)+(DCF!$C$10/(1+$A5)^2)+(DCF!$D$10/(1+$A5)^3)+(DCF!$E$10/(1+$A5)^4)+(DCF!$F$10/(1+$A5)^5)+((DCF!$F$10*(1+B$4))/($A5-B$4))/((1+$A5)^5)-WACC!$B$8)/WACC!$B$6</f>
        <v>46.13391738</v>
      </c>
      <c r="C5" s="8">
        <f>((DCF!$B$10/(1+$A5)^1)+(DCF!$C$10/(1+$A5)^2)+(DCF!$D$10/(1+$A5)^3)+(DCF!$E$10/(1+$A5)^4)+(DCF!$F$10/(1+$A5)^5)+((DCF!$F$10*(1+C$4))/($A5-C$4))/((1+$A5)^5)-WACC!$B$8)/WACC!$B$6</f>
        <v>48.96513187</v>
      </c>
      <c r="D5" s="8">
        <f>((DCF!$B$10/(1+$A5)^1)+(DCF!$C$10/(1+$A5)^2)+(DCF!$D$10/(1+$A5)^3)+(DCF!$E$10/(1+$A5)^4)+(DCF!$F$10/(1+$A5)^5)+((DCF!$F$10*(1+D$4))/($A5-D$4))/((1+$A5)^5)-WACC!$B$8)/WACC!$B$6</f>
        <v>52.24621359</v>
      </c>
      <c r="E5" s="8">
        <f>((DCF!$B$10/(1+$A5)^1)+(DCF!$C$10/(1+$A5)^2)+(DCF!$D$10/(1+$A5)^3)+(DCF!$E$10/(1+$A5)^4)+(DCF!$F$10/(1+$A5)^5)+((DCF!$F$10*(1+E$4))/($A5-E$4))/((1+$A5)^5)-WACC!$B$8)/WACC!$B$6</f>
        <v>56.09363918</v>
      </c>
      <c r="F5" s="8">
        <f>((DCF!$B$10/(1+$A5)^1)+(DCF!$C$10/(1+$A5)^2)+(DCF!$D$10/(1+$A5)^3)+(DCF!$E$10/(1+$A5)^4)+(DCF!$F$10/(1+$A5)^5)+((DCF!$F$10*(1+F$4))/($A5-F$4))/((1+$A5)^5)-WACC!$B$8)/WACC!$B$6</f>
        <v>60.66789314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7.25" customHeight="1">
      <c r="A6" s="16">
        <f>WACC!$B$19-0.005</f>
        <v>0.08293444424</v>
      </c>
      <c r="B6" s="8">
        <f>((DCF!$B$10/(1+$A6)^1)+(DCF!$C$10/(1+$A6)^2)+(DCF!$D$10/(1+$A6)^3)+(DCF!$E$10/(1+$A6)^4)+(DCF!$F$10/(1+$A6)^5)+((DCF!$F$10*(1+B$4))/($A6-B$4))/((1+$A6)^5)-WACC!$B$8)/WACC!$B$6</f>
        <v>42.87905233</v>
      </c>
      <c r="C6" s="8">
        <f>((DCF!$B$10/(1+$A6)^1)+(DCF!$C$10/(1+$A6)^2)+(DCF!$D$10/(1+$A6)^3)+(DCF!$E$10/(1+$A6)^4)+(DCF!$F$10/(1+$A6)^5)+((DCF!$F$10*(1+C$4))/($A6-C$4))/((1+$A6)^5)-WACC!$B$8)/WACC!$B$6</f>
        <v>45.30172134</v>
      </c>
      <c r="D6" s="8">
        <f>((DCF!$B$10/(1+$A6)^1)+(DCF!$C$10/(1+$A6)^2)+(DCF!$D$10/(1+$A6)^3)+(DCF!$E$10/(1+$A6)^4)+(DCF!$F$10/(1+$A6)^5)+((DCF!$F$10*(1+D$4))/($A6-D$4))/((1+$A6)^5)-WACC!$B$8)/WACC!$B$6</f>
        <v>48.08100901</v>
      </c>
      <c r="E6" s="8">
        <f>((DCF!$B$10/(1+$A6)^1)+(DCF!$C$10/(1+$A6)^2)+(DCF!$D$10/(1+$A6)^3)+(DCF!$E$10/(1+$A6)^4)+(DCF!$F$10/(1+$A6)^5)+((DCF!$F$10*(1+E$4))/($A6-E$4))/((1+$A6)^5)-WACC!$B$8)/WACC!$B$6</f>
        <v>51.30191298</v>
      </c>
      <c r="F6" s="8">
        <f>((DCF!$B$10/(1+$A6)^1)+(DCF!$C$10/(1+$A6)^2)+(DCF!$D$10/(1+$A6)^3)+(DCF!$E$10/(1+$A6)^4)+(DCF!$F$10/(1+$A6)^5)+((DCF!$F$10*(1+F$4))/($A6-F$4))/((1+$A6)^5)-WACC!$B$8)/WACC!$B$6</f>
        <v>55.0787736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7.25" customHeight="1">
      <c r="A7" s="16">
        <f>WACC!$B$19</f>
        <v>0.08793444424</v>
      </c>
      <c r="B7" s="8">
        <f>((DCF!$B$10/(1+$A7)^1)+(DCF!$C$10/(1+$A7)^2)+(DCF!$D$10/(1+$A7)^3)+(DCF!$E$10/(1+$A7)^4)+(DCF!$F$10/(1+$A7)^5)+((DCF!$F$10*(1+B$4))/($A7-B$4))/((1+$A7)^5)-WACC!$B$8)/WACC!$B$6</f>
        <v>40.01784303</v>
      </c>
      <c r="C7" s="8">
        <f>((DCF!$B$10/(1+$A7)^1)+(DCF!$C$10/(1+$A7)^2)+(DCF!$D$10/(1+$A7)^3)+(DCF!$E$10/(1+$A7)^4)+(DCF!$F$10/(1+$A7)^5)+((DCF!$F$10*(1+C$4))/($A7-C$4))/((1+$A7)^5)-WACC!$B$8)/WACC!$B$6</f>
        <v>42.10949578</v>
      </c>
      <c r="D7" s="8">
        <f>((DCF!$B$10/(1+$A7)^1)+(DCF!$C$10/(1+$A7)^2)+(DCF!$D$10/(1+$A7)^3)+(DCF!$E$10/(1+$A7)^4)+(DCF!$F$10/(1+$A7)^5)+((DCF!$F$10*(1+D$4))/($A7-D$4))/((1+$A7)^5)-WACC!$B$8)/WACC!$B$6</f>
        <v>44.48793384</v>
      </c>
      <c r="E7" s="8">
        <f>((DCF!$B$10/(1+$A7)^1)+(DCF!$C$10/(1+$A7)^2)+(DCF!$D$10/(1+$A7)^3)+(DCF!$E$10/(1+$A7)^4)+(DCF!$F$10/(1+$A7)^5)+((DCF!$F$10*(1+E$4))/($A7-E$4))/((1+$A7)^5)-WACC!$B$8)/WACC!$B$6</f>
        <v>47.21647973</v>
      </c>
      <c r="F7" s="8">
        <f>((DCF!$B$10/(1+$A7)^1)+(DCF!$C$10/(1+$A7)^2)+(DCF!$D$10/(1+$A7)^3)+(DCF!$E$10/(1+$A7)^4)+(DCF!$F$10/(1+$A7)^5)+((DCF!$F$10*(1+F$4))/($A7-F$4))/((1+$A7)^5)-WACC!$B$8)/WACC!$B$6</f>
        <v>50.37857928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7.25" customHeight="1">
      <c r="A8" s="16">
        <f>WACC!$B$19+0.005</f>
        <v>0.09293444424</v>
      </c>
      <c r="B8" s="8">
        <f>((DCF!$B$10/(1+$A8)^1)+(DCF!$C$10/(1+$A8)^2)+(DCF!$D$10/(1+$A8)^3)+(DCF!$E$10/(1+$A8)^4)+(DCF!$F$10/(1+$A8)^5)+((DCF!$F$10*(1+B$4))/($A8-B$4))/((1+$A8)^5)-WACC!$B$8)/WACC!$B$6</f>
        <v>37.48311366</v>
      </c>
      <c r="C8" s="8">
        <f>((DCF!$B$10/(1+$A8)^1)+(DCF!$C$10/(1+$A8)^2)+(DCF!$D$10/(1+$A8)^3)+(DCF!$E$10/(1+$A8)^4)+(DCF!$F$10/(1+$A8)^5)+((DCF!$F$10*(1+C$4))/($A8-C$4))/((1+$A8)^5)-WACC!$B$8)/WACC!$B$6</f>
        <v>39.30321035</v>
      </c>
      <c r="D8" s="8">
        <f>((DCF!$B$10/(1+$A8)^1)+(DCF!$C$10/(1+$A8)^2)+(DCF!$D$10/(1+$A8)^3)+(DCF!$E$10/(1+$A8)^4)+(DCF!$F$10/(1+$A8)^5)+((DCF!$F$10*(1+D$4))/($A8-D$4))/((1+$A8)^5)-WACC!$B$8)/WACC!$B$6</f>
        <v>41.35684905</v>
      </c>
      <c r="E8" s="8">
        <f>((DCF!$B$10/(1+$A8)^1)+(DCF!$C$10/(1+$A8)^2)+(DCF!$D$10/(1+$A8)^3)+(DCF!$E$10/(1+$A8)^4)+(DCF!$F$10/(1+$A8)^5)+((DCF!$F$10*(1+E$4))/($A8-E$4))/((1+$A8)^5)-WACC!$B$8)/WACC!$B$6</f>
        <v>43.69206098</v>
      </c>
      <c r="F8" s="8">
        <f>((DCF!$B$10/(1+$A8)^1)+(DCF!$C$10/(1+$A8)^2)+(DCF!$D$10/(1+$A8)^3)+(DCF!$E$10/(1+$A8)^4)+(DCF!$F$10/(1+$A8)^5)+((DCF!$F$10*(1+F$4))/($A8-F$4))/((1+$A8)^5)-WACC!$B$8)/WACC!$B$6</f>
        <v>46.37101782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7.25" customHeight="1">
      <c r="A9" s="16">
        <f>WACC!$B$19+0.01</f>
        <v>0.09793444424</v>
      </c>
      <c r="B9" s="8">
        <f>((DCF!$B$10/(1+$A9)^1)+(DCF!$C$10/(1+$A9)^2)+(DCF!$D$10/(1+$A9)^3)+(DCF!$E$10/(1+$A9)^4)+(DCF!$F$10/(1+$A9)^5)+((DCF!$F$10*(1+B$4))/($A9-B$4))/((1+$A9)^5)-WACC!$B$8)/WACC!$B$6</f>
        <v>35.22214567</v>
      </c>
      <c r="C9" s="8">
        <f>((DCF!$B$10/(1+$A9)^1)+(DCF!$C$10/(1+$A9)^2)+(DCF!$D$10/(1+$A9)^3)+(DCF!$E$10/(1+$A9)^4)+(DCF!$F$10/(1+$A9)^5)+((DCF!$F$10*(1+C$4))/($A9-C$4))/((1+$A9)^5)-WACC!$B$8)/WACC!$B$6</f>
        <v>36.81700912</v>
      </c>
      <c r="D9" s="8">
        <f>((DCF!$B$10/(1+$A9)^1)+(DCF!$C$10/(1+$A9)^2)+(DCF!$D$10/(1+$A9)^3)+(DCF!$E$10/(1+$A9)^4)+(DCF!$F$10/(1+$A9)^5)+((DCF!$F$10*(1+D$4))/($A9-D$4))/((1+$A9)^5)-WACC!$B$8)/WACC!$B$6</f>
        <v>38.60417668</v>
      </c>
      <c r="E9" s="8">
        <f>((DCF!$B$10/(1+$A9)^1)+(DCF!$C$10/(1+$A9)^2)+(DCF!$D$10/(1+$A9)^3)+(DCF!$E$10/(1+$A9)^4)+(DCF!$F$10/(1+$A9)^5)+((DCF!$F$10*(1+E$4))/($A9-E$4))/((1+$A9)^5)-WACC!$B$8)/WACC!$B$6</f>
        <v>40.62066102</v>
      </c>
      <c r="F9" s="8">
        <f>((DCF!$B$10/(1+$A9)^1)+(DCF!$C$10/(1+$A9)^2)+(DCF!$D$10/(1+$A9)^3)+(DCF!$E$10/(1+$A9)^4)+(DCF!$F$10/(1+$A9)^5)+((DCF!$F$10*(1+F$4))/($A9-F$4))/((1+$A9)^5)-WACC!$B$8)/WACC!$B$6</f>
        <v>42.91362437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20"/>
      <c r="B10" s="20"/>
      <c r="C10" s="20"/>
      <c r="D10" s="20"/>
      <c r="E10" s="20"/>
      <c r="F10" s="2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20"/>
      <c r="B11" s="20"/>
      <c r="C11" s="20"/>
      <c r="D11" s="20"/>
      <c r="E11" s="20"/>
      <c r="F11" s="2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20"/>
      <c r="B12" s="20"/>
      <c r="C12" s="20"/>
      <c r="D12" s="20"/>
      <c r="E12" s="20"/>
      <c r="F12" s="2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20"/>
      <c r="B13" s="20"/>
      <c r="C13" s="20"/>
      <c r="D13" s="20"/>
      <c r="E13" s="20"/>
      <c r="F13" s="2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20"/>
      <c r="B14" s="20"/>
      <c r="C14" s="20"/>
      <c r="D14" s="20"/>
      <c r="E14" s="20"/>
      <c r="F14" s="2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20"/>
      <c r="B15" s="20"/>
      <c r="C15" s="20"/>
      <c r="D15" s="20"/>
      <c r="E15" s="20"/>
      <c r="F15" s="2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20"/>
      <c r="B16" s="20"/>
      <c r="C16" s="20"/>
      <c r="D16" s="20"/>
      <c r="E16" s="20"/>
      <c r="F16" s="2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20"/>
      <c r="B17" s="20"/>
      <c r="C17" s="20"/>
      <c r="D17" s="20"/>
      <c r="E17" s="20"/>
      <c r="F17" s="2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20"/>
      <c r="B18" s="20"/>
      <c r="C18" s="20"/>
      <c r="D18" s="20"/>
      <c r="E18" s="20"/>
      <c r="F18" s="2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20"/>
      <c r="B19" s="20"/>
      <c r="C19" s="20"/>
      <c r="D19" s="20"/>
      <c r="E19" s="20"/>
      <c r="F19" s="2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20"/>
      <c r="B20" s="20"/>
      <c r="C20" s="20"/>
      <c r="D20" s="20"/>
      <c r="E20" s="20"/>
      <c r="F20" s="2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5.75" customHeight="1">
      <c r="A21" s="20"/>
      <c r="B21" s="20"/>
      <c r="C21" s="20"/>
      <c r="D21" s="20"/>
      <c r="E21" s="20"/>
      <c r="F21" s="2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5.75" customHeight="1">
      <c r="A22" s="20"/>
      <c r="B22" s="20"/>
      <c r="C22" s="20"/>
      <c r="D22" s="20"/>
      <c r="E22" s="20"/>
      <c r="F22" s="2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5.75" customHeight="1">
      <c r="A23" s="20"/>
      <c r="B23" s="20"/>
      <c r="C23" s="20"/>
      <c r="D23" s="20"/>
      <c r="E23" s="20"/>
      <c r="F23" s="2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5.75" customHeight="1">
      <c r="A24" s="20"/>
      <c r="B24" s="20"/>
      <c r="C24" s="20"/>
      <c r="D24" s="20"/>
      <c r="E24" s="20"/>
      <c r="F24" s="2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5.75" customHeight="1">
      <c r="A25" s="20"/>
      <c r="B25" s="20"/>
      <c r="C25" s="20"/>
      <c r="D25" s="20"/>
      <c r="E25" s="20"/>
      <c r="F25" s="2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5.75" customHeight="1">
      <c r="A26" s="20"/>
      <c r="B26" s="20"/>
      <c r="C26" s="20"/>
      <c r="D26" s="20"/>
      <c r="E26" s="20"/>
      <c r="F26" s="2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5.75" customHeight="1">
      <c r="A27" s="20"/>
      <c r="B27" s="20"/>
      <c r="C27" s="20"/>
      <c r="D27" s="20"/>
      <c r="E27" s="20"/>
      <c r="F27" s="2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5.75" customHeight="1">
      <c r="A28" s="20"/>
      <c r="B28" s="20"/>
      <c r="C28" s="20"/>
      <c r="D28" s="20"/>
      <c r="E28" s="20"/>
      <c r="F28" s="2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5.75" customHeight="1">
      <c r="A29" s="20"/>
      <c r="B29" s="20"/>
      <c r="C29" s="20"/>
      <c r="D29" s="20"/>
      <c r="E29" s="20"/>
      <c r="F29" s="2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5.75" customHeight="1">
      <c r="A30" s="20"/>
      <c r="B30" s="20"/>
      <c r="C30" s="20"/>
      <c r="D30" s="20"/>
      <c r="E30" s="20"/>
      <c r="F30" s="2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5.75" customHeight="1">
      <c r="A31" s="20"/>
      <c r="B31" s="20"/>
      <c r="C31" s="20"/>
      <c r="D31" s="20"/>
      <c r="E31" s="20"/>
      <c r="F31" s="2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5.75" customHeight="1">
      <c r="A32" s="20"/>
      <c r="B32" s="20"/>
      <c r="C32" s="20"/>
      <c r="D32" s="20"/>
      <c r="E32" s="20"/>
      <c r="F32" s="2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5.75" customHeight="1">
      <c r="A33" s="20"/>
      <c r="B33" s="20"/>
      <c r="C33" s="20"/>
      <c r="D33" s="20"/>
      <c r="E33" s="20"/>
      <c r="F33" s="2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5.75" customHeight="1">
      <c r="A34" s="20"/>
      <c r="B34" s="20"/>
      <c r="C34" s="20"/>
      <c r="D34" s="20"/>
      <c r="E34" s="20"/>
      <c r="F34" s="2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5.75" customHeight="1">
      <c r="A35" s="20"/>
      <c r="B35" s="20"/>
      <c r="C35" s="20"/>
      <c r="D35" s="20"/>
      <c r="E35" s="20"/>
      <c r="F35" s="2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5.75" customHeight="1">
      <c r="A36" s="20"/>
      <c r="B36" s="20"/>
      <c r="C36" s="20"/>
      <c r="D36" s="20"/>
      <c r="E36" s="20"/>
      <c r="F36" s="2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5.75" customHeight="1">
      <c r="A37" s="20"/>
      <c r="B37" s="20"/>
      <c r="C37" s="20"/>
      <c r="D37" s="20"/>
      <c r="E37" s="20"/>
      <c r="F37" s="2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5.75" customHeight="1">
      <c r="A38" s="20"/>
      <c r="B38" s="20"/>
      <c r="C38" s="20"/>
      <c r="D38" s="20"/>
      <c r="E38" s="20"/>
      <c r="F38" s="2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5.75" customHeight="1">
      <c r="A39" s="20"/>
      <c r="B39" s="20"/>
      <c r="C39" s="20"/>
      <c r="D39" s="20"/>
      <c r="E39" s="20"/>
      <c r="F39" s="2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5.75" customHeight="1">
      <c r="A40" s="20"/>
      <c r="B40" s="20"/>
      <c r="C40" s="20"/>
      <c r="D40" s="20"/>
      <c r="E40" s="20"/>
      <c r="F40" s="2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5.75" customHeight="1">
      <c r="A41" s="20"/>
      <c r="B41" s="20"/>
      <c r="C41" s="20"/>
      <c r="D41" s="20"/>
      <c r="E41" s="20"/>
      <c r="F41" s="2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5.75" customHeight="1">
      <c r="A42" s="20"/>
      <c r="B42" s="20"/>
      <c r="C42" s="20"/>
      <c r="D42" s="20"/>
      <c r="E42" s="20"/>
      <c r="F42" s="2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5.75" customHeight="1">
      <c r="A43" s="20"/>
      <c r="B43" s="20"/>
      <c r="C43" s="20"/>
      <c r="D43" s="20"/>
      <c r="E43" s="20"/>
      <c r="F43" s="2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5.75" customHeight="1">
      <c r="A44" s="20"/>
      <c r="B44" s="20"/>
      <c r="C44" s="20"/>
      <c r="D44" s="20"/>
      <c r="E44" s="20"/>
      <c r="F44" s="2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5.75" customHeight="1">
      <c r="A45" s="20"/>
      <c r="B45" s="20"/>
      <c r="C45" s="20"/>
      <c r="D45" s="20"/>
      <c r="E45" s="20"/>
      <c r="F45" s="2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5.75" customHeight="1">
      <c r="A46" s="20"/>
      <c r="B46" s="20"/>
      <c r="C46" s="20"/>
      <c r="D46" s="20"/>
      <c r="E46" s="20"/>
      <c r="F46" s="2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5.75" customHeight="1">
      <c r="A47" s="20"/>
      <c r="B47" s="20"/>
      <c r="C47" s="20"/>
      <c r="D47" s="20"/>
      <c r="E47" s="20"/>
      <c r="F47" s="2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5.75" customHeight="1">
      <c r="A48" s="20"/>
      <c r="B48" s="20"/>
      <c r="C48" s="20"/>
      <c r="D48" s="20"/>
      <c r="E48" s="20"/>
      <c r="F48" s="2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5.75" customHeight="1">
      <c r="A49" s="20"/>
      <c r="B49" s="20"/>
      <c r="C49" s="20"/>
      <c r="D49" s="20"/>
      <c r="E49" s="20"/>
      <c r="F49" s="2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5.75" customHeight="1">
      <c r="A50" s="20"/>
      <c r="B50" s="20"/>
      <c r="C50" s="20"/>
      <c r="D50" s="20"/>
      <c r="E50" s="20"/>
      <c r="F50" s="2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5.75" customHeight="1">
      <c r="A51" s="20"/>
      <c r="B51" s="20"/>
      <c r="C51" s="20"/>
      <c r="D51" s="20"/>
      <c r="E51" s="20"/>
      <c r="F51" s="2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5.75" customHeight="1">
      <c r="A52" s="20"/>
      <c r="B52" s="20"/>
      <c r="C52" s="20"/>
      <c r="D52" s="20"/>
      <c r="E52" s="20"/>
      <c r="F52" s="2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5.75" customHeight="1">
      <c r="A53" s="20"/>
      <c r="B53" s="20"/>
      <c r="C53" s="20"/>
      <c r="D53" s="20"/>
      <c r="E53" s="20"/>
      <c r="F53" s="2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5.75" customHeight="1">
      <c r="A54" s="20"/>
      <c r="B54" s="20"/>
      <c r="C54" s="20"/>
      <c r="D54" s="20"/>
      <c r="E54" s="20"/>
      <c r="F54" s="2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5.75" customHeight="1">
      <c r="A55" s="20"/>
      <c r="B55" s="20"/>
      <c r="C55" s="20"/>
      <c r="D55" s="20"/>
      <c r="E55" s="20"/>
      <c r="F55" s="2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5.75" customHeight="1">
      <c r="A56" s="20"/>
      <c r="B56" s="20"/>
      <c r="C56" s="20"/>
      <c r="D56" s="20"/>
      <c r="E56" s="20"/>
      <c r="F56" s="2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5.75" customHeight="1">
      <c r="A57" s="20"/>
      <c r="B57" s="20"/>
      <c r="C57" s="20"/>
      <c r="D57" s="20"/>
      <c r="E57" s="20"/>
      <c r="F57" s="2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5.75" customHeight="1">
      <c r="A58" s="20"/>
      <c r="B58" s="20"/>
      <c r="C58" s="20"/>
      <c r="D58" s="20"/>
      <c r="E58" s="20"/>
      <c r="F58" s="2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5.75" customHeight="1">
      <c r="A59" s="20"/>
      <c r="B59" s="20"/>
      <c r="C59" s="20"/>
      <c r="D59" s="20"/>
      <c r="E59" s="20"/>
      <c r="F59" s="2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5.75" customHeight="1">
      <c r="A60" s="20"/>
      <c r="B60" s="20"/>
      <c r="C60" s="20"/>
      <c r="D60" s="20"/>
      <c r="E60" s="20"/>
      <c r="F60" s="2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5.75" customHeight="1">
      <c r="A61" s="20"/>
      <c r="B61" s="20"/>
      <c r="C61" s="20"/>
      <c r="D61" s="20"/>
      <c r="E61" s="20"/>
      <c r="F61" s="2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5.75" customHeight="1">
      <c r="A62" s="20"/>
      <c r="B62" s="20"/>
      <c r="C62" s="20"/>
      <c r="D62" s="20"/>
      <c r="E62" s="20"/>
      <c r="F62" s="2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5.75" customHeight="1">
      <c r="A63" s="20"/>
      <c r="B63" s="20"/>
      <c r="C63" s="20"/>
      <c r="D63" s="20"/>
      <c r="E63" s="20"/>
      <c r="F63" s="2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5.75" customHeight="1">
      <c r="A64" s="20"/>
      <c r="B64" s="20"/>
      <c r="C64" s="20"/>
      <c r="D64" s="20"/>
      <c r="E64" s="20"/>
      <c r="F64" s="2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5.75" customHeight="1">
      <c r="A65" s="20"/>
      <c r="B65" s="20"/>
      <c r="C65" s="20"/>
      <c r="D65" s="20"/>
      <c r="E65" s="20"/>
      <c r="F65" s="2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5.75" customHeight="1">
      <c r="A66" s="20"/>
      <c r="B66" s="20"/>
      <c r="C66" s="20"/>
      <c r="D66" s="20"/>
      <c r="E66" s="20"/>
      <c r="F66" s="2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5.75" customHeight="1">
      <c r="A67" s="20"/>
      <c r="B67" s="20"/>
      <c r="C67" s="20"/>
      <c r="D67" s="20"/>
      <c r="E67" s="20"/>
      <c r="F67" s="2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5.75" customHeight="1">
      <c r="A68" s="20"/>
      <c r="B68" s="20"/>
      <c r="C68" s="20"/>
      <c r="D68" s="20"/>
      <c r="E68" s="20"/>
      <c r="F68" s="2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5.75" customHeight="1">
      <c r="A69" s="20"/>
      <c r="B69" s="20"/>
      <c r="C69" s="20"/>
      <c r="D69" s="20"/>
      <c r="E69" s="20"/>
      <c r="F69" s="2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5.75" customHeight="1">
      <c r="A70" s="20"/>
      <c r="B70" s="20"/>
      <c r="C70" s="20"/>
      <c r="D70" s="20"/>
      <c r="E70" s="20"/>
      <c r="F70" s="2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5.75" customHeight="1">
      <c r="A71" s="20"/>
      <c r="B71" s="20"/>
      <c r="C71" s="20"/>
      <c r="D71" s="20"/>
      <c r="E71" s="20"/>
      <c r="F71" s="2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5.75" customHeight="1">
      <c r="A72" s="20"/>
      <c r="B72" s="20"/>
      <c r="C72" s="20"/>
      <c r="D72" s="20"/>
      <c r="E72" s="20"/>
      <c r="F72" s="2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5.75" customHeight="1">
      <c r="A73" s="20"/>
      <c r="B73" s="20"/>
      <c r="C73" s="20"/>
      <c r="D73" s="20"/>
      <c r="E73" s="20"/>
      <c r="F73" s="2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5.75" customHeight="1">
      <c r="A74" s="20"/>
      <c r="B74" s="20"/>
      <c r="C74" s="20"/>
      <c r="D74" s="20"/>
      <c r="E74" s="20"/>
      <c r="F74" s="2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5.75" customHeight="1">
      <c r="A75" s="20"/>
      <c r="B75" s="20"/>
      <c r="C75" s="20"/>
      <c r="D75" s="20"/>
      <c r="E75" s="20"/>
      <c r="F75" s="2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5.75" customHeight="1">
      <c r="A76" s="20"/>
      <c r="B76" s="20"/>
      <c r="C76" s="20"/>
      <c r="D76" s="20"/>
      <c r="E76" s="20"/>
      <c r="F76" s="2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5.75" customHeight="1">
      <c r="A77" s="20"/>
      <c r="B77" s="20"/>
      <c r="C77" s="20"/>
      <c r="D77" s="20"/>
      <c r="E77" s="20"/>
      <c r="F77" s="2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5.75" customHeight="1">
      <c r="A78" s="20"/>
      <c r="B78" s="20"/>
      <c r="C78" s="20"/>
      <c r="D78" s="20"/>
      <c r="E78" s="20"/>
      <c r="F78" s="2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5.75" customHeight="1">
      <c r="A79" s="20"/>
      <c r="B79" s="20"/>
      <c r="C79" s="20"/>
      <c r="D79" s="20"/>
      <c r="E79" s="20"/>
      <c r="F79" s="2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5.75" customHeight="1">
      <c r="A80" s="20"/>
      <c r="B80" s="20"/>
      <c r="C80" s="20"/>
      <c r="D80" s="20"/>
      <c r="E80" s="20"/>
      <c r="F80" s="2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5.75" customHeight="1">
      <c r="A81" s="20"/>
      <c r="B81" s="20"/>
      <c r="C81" s="20"/>
      <c r="D81" s="20"/>
      <c r="E81" s="20"/>
      <c r="F81" s="2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5.75" customHeight="1">
      <c r="A82" s="20"/>
      <c r="B82" s="20"/>
      <c r="C82" s="20"/>
      <c r="D82" s="20"/>
      <c r="E82" s="20"/>
      <c r="F82" s="2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5.75" customHeight="1">
      <c r="A83" s="20"/>
      <c r="B83" s="20"/>
      <c r="C83" s="20"/>
      <c r="D83" s="20"/>
      <c r="E83" s="20"/>
      <c r="F83" s="2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5.75" customHeight="1">
      <c r="A84" s="20"/>
      <c r="B84" s="20"/>
      <c r="C84" s="20"/>
      <c r="D84" s="20"/>
      <c r="E84" s="20"/>
      <c r="F84" s="2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5.75" customHeight="1">
      <c r="A85" s="20"/>
      <c r="B85" s="20"/>
      <c r="C85" s="20"/>
      <c r="D85" s="20"/>
      <c r="E85" s="20"/>
      <c r="F85" s="2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5.75" customHeight="1">
      <c r="A86" s="20"/>
      <c r="B86" s="20"/>
      <c r="C86" s="20"/>
      <c r="D86" s="20"/>
      <c r="E86" s="20"/>
      <c r="F86" s="2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5.75" customHeight="1">
      <c r="A87" s="20"/>
      <c r="B87" s="20"/>
      <c r="C87" s="20"/>
      <c r="D87" s="20"/>
      <c r="E87" s="20"/>
      <c r="F87" s="2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5.75" customHeight="1">
      <c r="A88" s="20"/>
      <c r="B88" s="20"/>
      <c r="C88" s="20"/>
      <c r="D88" s="20"/>
      <c r="E88" s="20"/>
      <c r="F88" s="2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5.75" customHeight="1">
      <c r="A89" s="20"/>
      <c r="B89" s="20"/>
      <c r="C89" s="20"/>
      <c r="D89" s="20"/>
      <c r="E89" s="20"/>
      <c r="F89" s="2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5.75" customHeight="1">
      <c r="A90" s="20"/>
      <c r="B90" s="20"/>
      <c r="C90" s="20"/>
      <c r="D90" s="20"/>
      <c r="E90" s="20"/>
      <c r="F90" s="2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5.75" customHeight="1">
      <c r="A91" s="20"/>
      <c r="B91" s="20"/>
      <c r="C91" s="20"/>
      <c r="D91" s="20"/>
      <c r="E91" s="20"/>
      <c r="F91" s="2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5.75" customHeight="1">
      <c r="A92" s="20"/>
      <c r="B92" s="20"/>
      <c r="C92" s="20"/>
      <c r="D92" s="20"/>
      <c r="E92" s="20"/>
      <c r="F92" s="2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5.75" customHeight="1">
      <c r="A93" s="20"/>
      <c r="B93" s="20"/>
      <c r="C93" s="20"/>
      <c r="D93" s="20"/>
      <c r="E93" s="20"/>
      <c r="F93" s="2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5.75" customHeight="1">
      <c r="A94" s="20"/>
      <c r="B94" s="20"/>
      <c r="C94" s="20"/>
      <c r="D94" s="20"/>
      <c r="E94" s="20"/>
      <c r="F94" s="2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5.75" customHeight="1">
      <c r="A95" s="20"/>
      <c r="B95" s="20"/>
      <c r="C95" s="20"/>
      <c r="D95" s="20"/>
      <c r="E95" s="20"/>
      <c r="F95" s="2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5.75" customHeight="1">
      <c r="A96" s="20"/>
      <c r="B96" s="20"/>
      <c r="C96" s="20"/>
      <c r="D96" s="20"/>
      <c r="E96" s="20"/>
      <c r="F96" s="2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5.75" customHeight="1">
      <c r="A97" s="20"/>
      <c r="B97" s="20"/>
      <c r="C97" s="20"/>
      <c r="D97" s="20"/>
      <c r="E97" s="20"/>
      <c r="F97" s="2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5.75" customHeight="1">
      <c r="A98" s="20"/>
      <c r="B98" s="20"/>
      <c r="C98" s="20"/>
      <c r="D98" s="20"/>
      <c r="E98" s="20"/>
      <c r="F98" s="2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5.75" customHeight="1">
      <c r="A99" s="20"/>
      <c r="B99" s="20"/>
      <c r="C99" s="20"/>
      <c r="D99" s="20"/>
      <c r="E99" s="20"/>
      <c r="F99" s="2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5.75" customHeight="1">
      <c r="A100" s="20"/>
      <c r="B100" s="20"/>
      <c r="C100" s="20"/>
      <c r="D100" s="20"/>
      <c r="E100" s="20"/>
      <c r="F100" s="2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5.75" customHeight="1">
      <c r="A101" s="20"/>
      <c r="B101" s="20"/>
      <c r="C101" s="20"/>
      <c r="D101" s="20"/>
      <c r="E101" s="20"/>
      <c r="F101" s="2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5.75" customHeight="1">
      <c r="A102" s="20"/>
      <c r="B102" s="20"/>
      <c r="C102" s="20"/>
      <c r="D102" s="20"/>
      <c r="E102" s="20"/>
      <c r="F102" s="2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5.75" customHeight="1">
      <c r="A103" s="20"/>
      <c r="B103" s="20"/>
      <c r="C103" s="20"/>
      <c r="D103" s="20"/>
      <c r="E103" s="20"/>
      <c r="F103" s="2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5.75" customHeight="1">
      <c r="A104" s="20"/>
      <c r="B104" s="20"/>
      <c r="C104" s="20"/>
      <c r="D104" s="20"/>
      <c r="E104" s="20"/>
      <c r="F104" s="2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5.75" customHeight="1">
      <c r="A105" s="20"/>
      <c r="B105" s="20"/>
      <c r="C105" s="20"/>
      <c r="D105" s="20"/>
      <c r="E105" s="20"/>
      <c r="F105" s="2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5.75" customHeight="1">
      <c r="A106" s="20"/>
      <c r="B106" s="20"/>
      <c r="C106" s="20"/>
      <c r="D106" s="20"/>
      <c r="E106" s="20"/>
      <c r="F106" s="2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5.75" customHeight="1">
      <c r="A107" s="20"/>
      <c r="B107" s="20"/>
      <c r="C107" s="20"/>
      <c r="D107" s="20"/>
      <c r="E107" s="20"/>
      <c r="F107" s="2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5.75" customHeight="1">
      <c r="A108" s="20"/>
      <c r="B108" s="20"/>
      <c r="C108" s="20"/>
      <c r="D108" s="20"/>
      <c r="E108" s="20"/>
      <c r="F108" s="2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5.75" customHeight="1">
      <c r="A109" s="20"/>
      <c r="B109" s="20"/>
      <c r="C109" s="20"/>
      <c r="D109" s="20"/>
      <c r="E109" s="20"/>
      <c r="F109" s="2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5.75" customHeight="1">
      <c r="A110" s="20"/>
      <c r="B110" s="20"/>
      <c r="C110" s="20"/>
      <c r="D110" s="20"/>
      <c r="E110" s="20"/>
      <c r="F110" s="2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5.75" customHeight="1">
      <c r="A111" s="20"/>
      <c r="B111" s="20"/>
      <c r="C111" s="20"/>
      <c r="D111" s="20"/>
      <c r="E111" s="20"/>
      <c r="F111" s="2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5.75" customHeight="1">
      <c r="A112" s="20"/>
      <c r="B112" s="20"/>
      <c r="C112" s="20"/>
      <c r="D112" s="20"/>
      <c r="E112" s="20"/>
      <c r="F112" s="2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5.75" customHeight="1">
      <c r="A113" s="20"/>
      <c r="B113" s="20"/>
      <c r="C113" s="20"/>
      <c r="D113" s="20"/>
      <c r="E113" s="20"/>
      <c r="F113" s="2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5.75" customHeight="1">
      <c r="A114" s="20"/>
      <c r="B114" s="20"/>
      <c r="C114" s="20"/>
      <c r="D114" s="20"/>
      <c r="E114" s="20"/>
      <c r="F114" s="2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5.75" customHeight="1">
      <c r="A115" s="20"/>
      <c r="B115" s="20"/>
      <c r="C115" s="20"/>
      <c r="D115" s="20"/>
      <c r="E115" s="20"/>
      <c r="F115" s="2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5.75" customHeight="1">
      <c r="A116" s="20"/>
      <c r="B116" s="20"/>
      <c r="C116" s="20"/>
      <c r="D116" s="20"/>
      <c r="E116" s="20"/>
      <c r="F116" s="2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5.75" customHeight="1">
      <c r="A117" s="20"/>
      <c r="B117" s="20"/>
      <c r="C117" s="20"/>
      <c r="D117" s="20"/>
      <c r="E117" s="20"/>
      <c r="F117" s="2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5.75" customHeight="1">
      <c r="A118" s="20"/>
      <c r="B118" s="20"/>
      <c r="C118" s="20"/>
      <c r="D118" s="20"/>
      <c r="E118" s="20"/>
      <c r="F118" s="2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5.75" customHeight="1">
      <c r="A119" s="20"/>
      <c r="B119" s="20"/>
      <c r="C119" s="20"/>
      <c r="D119" s="20"/>
      <c r="E119" s="20"/>
      <c r="F119" s="2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5.75" customHeight="1">
      <c r="A120" s="20"/>
      <c r="B120" s="20"/>
      <c r="C120" s="20"/>
      <c r="D120" s="20"/>
      <c r="E120" s="20"/>
      <c r="F120" s="2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5.75" customHeight="1">
      <c r="A121" s="20"/>
      <c r="B121" s="20"/>
      <c r="C121" s="20"/>
      <c r="D121" s="20"/>
      <c r="E121" s="20"/>
      <c r="F121" s="2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5.75" customHeight="1">
      <c r="A122" s="20"/>
      <c r="B122" s="20"/>
      <c r="C122" s="20"/>
      <c r="D122" s="20"/>
      <c r="E122" s="20"/>
      <c r="F122" s="2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5.75" customHeight="1">
      <c r="A123" s="20"/>
      <c r="B123" s="20"/>
      <c r="C123" s="20"/>
      <c r="D123" s="20"/>
      <c r="E123" s="20"/>
      <c r="F123" s="2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5.75" customHeight="1">
      <c r="A124" s="20"/>
      <c r="B124" s="20"/>
      <c r="C124" s="20"/>
      <c r="D124" s="20"/>
      <c r="E124" s="20"/>
      <c r="F124" s="2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5.75" customHeight="1">
      <c r="A125" s="20"/>
      <c r="B125" s="20"/>
      <c r="C125" s="20"/>
      <c r="D125" s="20"/>
      <c r="E125" s="20"/>
      <c r="F125" s="2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5.75" customHeight="1">
      <c r="A126" s="20"/>
      <c r="B126" s="20"/>
      <c r="C126" s="20"/>
      <c r="D126" s="20"/>
      <c r="E126" s="20"/>
      <c r="F126" s="2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5.75" customHeight="1">
      <c r="A127" s="20"/>
      <c r="B127" s="20"/>
      <c r="C127" s="20"/>
      <c r="D127" s="20"/>
      <c r="E127" s="20"/>
      <c r="F127" s="2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5.75" customHeight="1">
      <c r="A128" s="20"/>
      <c r="B128" s="20"/>
      <c r="C128" s="20"/>
      <c r="D128" s="20"/>
      <c r="E128" s="20"/>
      <c r="F128" s="2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5.75" customHeight="1">
      <c r="A129" s="20"/>
      <c r="B129" s="20"/>
      <c r="C129" s="20"/>
      <c r="D129" s="20"/>
      <c r="E129" s="20"/>
      <c r="F129" s="2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5.75" customHeight="1">
      <c r="A130" s="20"/>
      <c r="B130" s="20"/>
      <c r="C130" s="20"/>
      <c r="D130" s="20"/>
      <c r="E130" s="20"/>
      <c r="F130" s="2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5.75" customHeight="1">
      <c r="A131" s="20"/>
      <c r="B131" s="20"/>
      <c r="C131" s="20"/>
      <c r="D131" s="20"/>
      <c r="E131" s="20"/>
      <c r="F131" s="2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5.75" customHeight="1">
      <c r="A132" s="20"/>
      <c r="B132" s="20"/>
      <c r="C132" s="20"/>
      <c r="D132" s="20"/>
      <c r="E132" s="20"/>
      <c r="F132" s="2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5.75" customHeight="1">
      <c r="A133" s="20"/>
      <c r="B133" s="20"/>
      <c r="C133" s="20"/>
      <c r="D133" s="20"/>
      <c r="E133" s="20"/>
      <c r="F133" s="2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5.75" customHeight="1">
      <c r="A134" s="20"/>
      <c r="B134" s="20"/>
      <c r="C134" s="20"/>
      <c r="D134" s="20"/>
      <c r="E134" s="20"/>
      <c r="F134" s="2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5.75" customHeight="1">
      <c r="A135" s="20"/>
      <c r="B135" s="20"/>
      <c r="C135" s="20"/>
      <c r="D135" s="20"/>
      <c r="E135" s="20"/>
      <c r="F135" s="2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5.75" customHeight="1">
      <c r="A136" s="20"/>
      <c r="B136" s="20"/>
      <c r="C136" s="20"/>
      <c r="D136" s="20"/>
      <c r="E136" s="20"/>
      <c r="F136" s="2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5.75" customHeight="1">
      <c r="A137" s="20"/>
      <c r="B137" s="20"/>
      <c r="C137" s="20"/>
      <c r="D137" s="20"/>
      <c r="E137" s="20"/>
      <c r="F137" s="2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5.75" customHeight="1">
      <c r="A138" s="20"/>
      <c r="B138" s="20"/>
      <c r="C138" s="20"/>
      <c r="D138" s="20"/>
      <c r="E138" s="20"/>
      <c r="F138" s="2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5.75" customHeight="1">
      <c r="A139" s="20"/>
      <c r="B139" s="20"/>
      <c r="C139" s="20"/>
      <c r="D139" s="20"/>
      <c r="E139" s="20"/>
      <c r="F139" s="2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5.75" customHeight="1">
      <c r="A140" s="20"/>
      <c r="B140" s="20"/>
      <c r="C140" s="20"/>
      <c r="D140" s="20"/>
      <c r="E140" s="20"/>
      <c r="F140" s="2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5.75" customHeight="1">
      <c r="A141" s="20"/>
      <c r="B141" s="20"/>
      <c r="C141" s="20"/>
      <c r="D141" s="20"/>
      <c r="E141" s="20"/>
      <c r="F141" s="2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5.75" customHeight="1">
      <c r="A142" s="20"/>
      <c r="B142" s="20"/>
      <c r="C142" s="20"/>
      <c r="D142" s="20"/>
      <c r="E142" s="20"/>
      <c r="F142" s="2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5.75" customHeight="1">
      <c r="A143" s="20"/>
      <c r="B143" s="20"/>
      <c r="C143" s="20"/>
      <c r="D143" s="20"/>
      <c r="E143" s="20"/>
      <c r="F143" s="2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5.75" customHeight="1">
      <c r="A144" s="20"/>
      <c r="B144" s="20"/>
      <c r="C144" s="20"/>
      <c r="D144" s="20"/>
      <c r="E144" s="20"/>
      <c r="F144" s="2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5.75" customHeight="1">
      <c r="A145" s="20"/>
      <c r="B145" s="20"/>
      <c r="C145" s="20"/>
      <c r="D145" s="20"/>
      <c r="E145" s="20"/>
      <c r="F145" s="2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5.75" customHeight="1">
      <c r="A146" s="20"/>
      <c r="B146" s="20"/>
      <c r="C146" s="20"/>
      <c r="D146" s="20"/>
      <c r="E146" s="20"/>
      <c r="F146" s="2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5.75" customHeight="1">
      <c r="A147" s="20"/>
      <c r="B147" s="20"/>
      <c r="C147" s="20"/>
      <c r="D147" s="20"/>
      <c r="E147" s="20"/>
      <c r="F147" s="2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5.75" customHeight="1">
      <c r="A148" s="20"/>
      <c r="B148" s="20"/>
      <c r="C148" s="20"/>
      <c r="D148" s="20"/>
      <c r="E148" s="20"/>
      <c r="F148" s="2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5.75" customHeight="1">
      <c r="A149" s="20"/>
      <c r="B149" s="20"/>
      <c r="C149" s="20"/>
      <c r="D149" s="20"/>
      <c r="E149" s="20"/>
      <c r="F149" s="2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5.75" customHeight="1">
      <c r="A150" s="20"/>
      <c r="B150" s="20"/>
      <c r="C150" s="20"/>
      <c r="D150" s="20"/>
      <c r="E150" s="20"/>
      <c r="F150" s="2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5.75" customHeight="1">
      <c r="A151" s="20"/>
      <c r="B151" s="20"/>
      <c r="C151" s="20"/>
      <c r="D151" s="20"/>
      <c r="E151" s="20"/>
      <c r="F151" s="2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5.75" customHeight="1">
      <c r="A152" s="20"/>
      <c r="B152" s="20"/>
      <c r="C152" s="20"/>
      <c r="D152" s="20"/>
      <c r="E152" s="20"/>
      <c r="F152" s="2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5.75" customHeight="1">
      <c r="A153" s="20"/>
      <c r="B153" s="20"/>
      <c r="C153" s="20"/>
      <c r="D153" s="20"/>
      <c r="E153" s="20"/>
      <c r="F153" s="2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5.75" customHeight="1">
      <c r="A154" s="20"/>
      <c r="B154" s="20"/>
      <c r="C154" s="20"/>
      <c r="D154" s="20"/>
      <c r="E154" s="20"/>
      <c r="F154" s="2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5.75" customHeight="1">
      <c r="A155" s="20"/>
      <c r="B155" s="20"/>
      <c r="C155" s="20"/>
      <c r="D155" s="20"/>
      <c r="E155" s="20"/>
      <c r="F155" s="2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5.75" customHeight="1">
      <c r="A156" s="20"/>
      <c r="B156" s="20"/>
      <c r="C156" s="20"/>
      <c r="D156" s="20"/>
      <c r="E156" s="20"/>
      <c r="F156" s="2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5.75" customHeight="1">
      <c r="A157" s="20"/>
      <c r="B157" s="20"/>
      <c r="C157" s="20"/>
      <c r="D157" s="20"/>
      <c r="E157" s="20"/>
      <c r="F157" s="2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5.75" customHeight="1">
      <c r="A158" s="20"/>
      <c r="B158" s="20"/>
      <c r="C158" s="20"/>
      <c r="D158" s="20"/>
      <c r="E158" s="20"/>
      <c r="F158" s="2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5.75" customHeight="1">
      <c r="A159" s="20"/>
      <c r="B159" s="20"/>
      <c r="C159" s="20"/>
      <c r="D159" s="20"/>
      <c r="E159" s="20"/>
      <c r="F159" s="2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5.75" customHeight="1">
      <c r="A160" s="20"/>
      <c r="B160" s="20"/>
      <c r="C160" s="20"/>
      <c r="D160" s="20"/>
      <c r="E160" s="20"/>
      <c r="F160" s="2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5.75" customHeight="1">
      <c r="A161" s="20"/>
      <c r="B161" s="20"/>
      <c r="C161" s="20"/>
      <c r="D161" s="20"/>
      <c r="E161" s="20"/>
      <c r="F161" s="2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5.75" customHeight="1">
      <c r="A162" s="20"/>
      <c r="B162" s="20"/>
      <c r="C162" s="20"/>
      <c r="D162" s="20"/>
      <c r="E162" s="20"/>
      <c r="F162" s="2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5.75" customHeight="1">
      <c r="A163" s="20"/>
      <c r="B163" s="20"/>
      <c r="C163" s="20"/>
      <c r="D163" s="20"/>
      <c r="E163" s="20"/>
      <c r="F163" s="2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5.75" customHeight="1">
      <c r="A164" s="20"/>
      <c r="B164" s="20"/>
      <c r="C164" s="20"/>
      <c r="D164" s="20"/>
      <c r="E164" s="20"/>
      <c r="F164" s="2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5.75" customHeight="1">
      <c r="A165" s="20"/>
      <c r="B165" s="20"/>
      <c r="C165" s="20"/>
      <c r="D165" s="20"/>
      <c r="E165" s="20"/>
      <c r="F165" s="2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5.75" customHeight="1">
      <c r="A166" s="20"/>
      <c r="B166" s="20"/>
      <c r="C166" s="20"/>
      <c r="D166" s="20"/>
      <c r="E166" s="20"/>
      <c r="F166" s="2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5.75" customHeight="1">
      <c r="A167" s="20"/>
      <c r="B167" s="20"/>
      <c r="C167" s="20"/>
      <c r="D167" s="20"/>
      <c r="E167" s="20"/>
      <c r="F167" s="2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5.75" customHeight="1">
      <c r="A168" s="20"/>
      <c r="B168" s="20"/>
      <c r="C168" s="20"/>
      <c r="D168" s="20"/>
      <c r="E168" s="20"/>
      <c r="F168" s="2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5.75" customHeight="1">
      <c r="A169" s="20"/>
      <c r="B169" s="20"/>
      <c r="C169" s="20"/>
      <c r="D169" s="20"/>
      <c r="E169" s="20"/>
      <c r="F169" s="2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5.75" customHeight="1">
      <c r="A170" s="20"/>
      <c r="B170" s="20"/>
      <c r="C170" s="20"/>
      <c r="D170" s="20"/>
      <c r="E170" s="20"/>
      <c r="F170" s="2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5.75" customHeight="1">
      <c r="A171" s="20"/>
      <c r="B171" s="20"/>
      <c r="C171" s="20"/>
      <c r="D171" s="20"/>
      <c r="E171" s="20"/>
      <c r="F171" s="2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5.75" customHeight="1">
      <c r="A172" s="20"/>
      <c r="B172" s="20"/>
      <c r="C172" s="20"/>
      <c r="D172" s="20"/>
      <c r="E172" s="20"/>
      <c r="F172" s="2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5.75" customHeight="1">
      <c r="A173" s="20"/>
      <c r="B173" s="20"/>
      <c r="C173" s="20"/>
      <c r="D173" s="20"/>
      <c r="E173" s="20"/>
      <c r="F173" s="2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5.75" customHeight="1">
      <c r="A174" s="20"/>
      <c r="B174" s="20"/>
      <c r="C174" s="20"/>
      <c r="D174" s="20"/>
      <c r="E174" s="20"/>
      <c r="F174" s="2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5.75" customHeight="1">
      <c r="A175" s="20"/>
      <c r="B175" s="20"/>
      <c r="C175" s="20"/>
      <c r="D175" s="20"/>
      <c r="E175" s="20"/>
      <c r="F175" s="2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5.75" customHeight="1">
      <c r="A176" s="20"/>
      <c r="B176" s="20"/>
      <c r="C176" s="20"/>
      <c r="D176" s="20"/>
      <c r="E176" s="20"/>
      <c r="F176" s="2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5.75" customHeight="1">
      <c r="A177" s="20"/>
      <c r="B177" s="20"/>
      <c r="C177" s="20"/>
      <c r="D177" s="20"/>
      <c r="E177" s="20"/>
      <c r="F177" s="2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5.75" customHeight="1">
      <c r="A178" s="20"/>
      <c r="B178" s="20"/>
      <c r="C178" s="20"/>
      <c r="D178" s="20"/>
      <c r="E178" s="20"/>
      <c r="F178" s="2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5.75" customHeight="1">
      <c r="A179" s="20"/>
      <c r="B179" s="20"/>
      <c r="C179" s="20"/>
      <c r="D179" s="20"/>
      <c r="E179" s="20"/>
      <c r="F179" s="2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5.75" customHeight="1">
      <c r="A180" s="20"/>
      <c r="B180" s="20"/>
      <c r="C180" s="20"/>
      <c r="D180" s="20"/>
      <c r="E180" s="20"/>
      <c r="F180" s="2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5.75" customHeight="1">
      <c r="A181" s="20"/>
      <c r="B181" s="20"/>
      <c r="C181" s="20"/>
      <c r="D181" s="20"/>
      <c r="E181" s="20"/>
      <c r="F181" s="2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5.75" customHeight="1">
      <c r="A182" s="20"/>
      <c r="B182" s="20"/>
      <c r="C182" s="20"/>
      <c r="D182" s="20"/>
      <c r="E182" s="20"/>
      <c r="F182" s="2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5.75" customHeight="1">
      <c r="A183" s="20"/>
      <c r="B183" s="20"/>
      <c r="C183" s="20"/>
      <c r="D183" s="20"/>
      <c r="E183" s="20"/>
      <c r="F183" s="2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5.75" customHeight="1">
      <c r="A184" s="20"/>
      <c r="B184" s="20"/>
      <c r="C184" s="20"/>
      <c r="D184" s="20"/>
      <c r="E184" s="20"/>
      <c r="F184" s="2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5.75" customHeight="1">
      <c r="A185" s="20"/>
      <c r="B185" s="20"/>
      <c r="C185" s="20"/>
      <c r="D185" s="20"/>
      <c r="E185" s="20"/>
      <c r="F185" s="2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5.75" customHeight="1">
      <c r="A186" s="20"/>
      <c r="B186" s="20"/>
      <c r="C186" s="20"/>
      <c r="D186" s="20"/>
      <c r="E186" s="20"/>
      <c r="F186" s="2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5.75" customHeight="1">
      <c r="A187" s="20"/>
      <c r="B187" s="20"/>
      <c r="C187" s="20"/>
      <c r="D187" s="20"/>
      <c r="E187" s="20"/>
      <c r="F187" s="2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5.75" customHeight="1">
      <c r="A188" s="20"/>
      <c r="B188" s="20"/>
      <c r="C188" s="20"/>
      <c r="D188" s="20"/>
      <c r="E188" s="20"/>
      <c r="F188" s="2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5.75" customHeight="1">
      <c r="A189" s="20"/>
      <c r="B189" s="20"/>
      <c r="C189" s="20"/>
      <c r="D189" s="20"/>
      <c r="E189" s="20"/>
      <c r="F189" s="2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5.75" customHeight="1">
      <c r="A190" s="20"/>
      <c r="B190" s="20"/>
      <c r="C190" s="20"/>
      <c r="D190" s="20"/>
      <c r="E190" s="20"/>
      <c r="F190" s="2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5.75" customHeight="1">
      <c r="A191" s="20"/>
      <c r="B191" s="20"/>
      <c r="C191" s="20"/>
      <c r="D191" s="20"/>
      <c r="E191" s="20"/>
      <c r="F191" s="2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5.75" customHeight="1">
      <c r="A192" s="20"/>
      <c r="B192" s="20"/>
      <c r="C192" s="20"/>
      <c r="D192" s="20"/>
      <c r="E192" s="20"/>
      <c r="F192" s="2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5.75" customHeight="1">
      <c r="A193" s="20"/>
      <c r="B193" s="20"/>
      <c r="C193" s="20"/>
      <c r="D193" s="20"/>
      <c r="E193" s="20"/>
      <c r="F193" s="2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5.75" customHeight="1">
      <c r="A194" s="20"/>
      <c r="B194" s="20"/>
      <c r="C194" s="20"/>
      <c r="D194" s="20"/>
      <c r="E194" s="20"/>
      <c r="F194" s="2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5.75" customHeight="1">
      <c r="A195" s="20"/>
      <c r="B195" s="20"/>
      <c r="C195" s="20"/>
      <c r="D195" s="20"/>
      <c r="E195" s="20"/>
      <c r="F195" s="2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5.75" customHeight="1">
      <c r="A196" s="20"/>
      <c r="B196" s="20"/>
      <c r="C196" s="20"/>
      <c r="D196" s="20"/>
      <c r="E196" s="20"/>
      <c r="F196" s="2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5.75" customHeight="1">
      <c r="A197" s="20"/>
      <c r="B197" s="20"/>
      <c r="C197" s="20"/>
      <c r="D197" s="20"/>
      <c r="E197" s="20"/>
      <c r="F197" s="2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5.75" customHeight="1">
      <c r="A198" s="20"/>
      <c r="B198" s="20"/>
      <c r="C198" s="20"/>
      <c r="D198" s="20"/>
      <c r="E198" s="20"/>
      <c r="F198" s="2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5.75" customHeight="1">
      <c r="A199" s="20"/>
      <c r="B199" s="20"/>
      <c r="C199" s="20"/>
      <c r="D199" s="20"/>
      <c r="E199" s="20"/>
      <c r="F199" s="2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5.75" customHeight="1">
      <c r="A200" s="20"/>
      <c r="B200" s="20"/>
      <c r="C200" s="20"/>
      <c r="D200" s="20"/>
      <c r="E200" s="20"/>
      <c r="F200" s="2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5.75" customHeight="1">
      <c r="A201" s="20"/>
      <c r="B201" s="20"/>
      <c r="C201" s="20"/>
      <c r="D201" s="20"/>
      <c r="E201" s="20"/>
      <c r="F201" s="2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5.75" customHeight="1">
      <c r="A202" s="20"/>
      <c r="B202" s="20"/>
      <c r="C202" s="20"/>
      <c r="D202" s="20"/>
      <c r="E202" s="20"/>
      <c r="F202" s="2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5.75" customHeight="1">
      <c r="A203" s="20"/>
      <c r="B203" s="20"/>
      <c r="C203" s="20"/>
      <c r="D203" s="20"/>
      <c r="E203" s="20"/>
      <c r="F203" s="2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5.75" customHeight="1">
      <c r="A204" s="20"/>
      <c r="B204" s="20"/>
      <c r="C204" s="20"/>
      <c r="D204" s="20"/>
      <c r="E204" s="20"/>
      <c r="F204" s="2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5.75" customHeight="1">
      <c r="A205" s="20"/>
      <c r="B205" s="20"/>
      <c r="C205" s="20"/>
      <c r="D205" s="20"/>
      <c r="E205" s="20"/>
      <c r="F205" s="2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5.75" customHeight="1">
      <c r="A206" s="20"/>
      <c r="B206" s="20"/>
      <c r="C206" s="20"/>
      <c r="D206" s="20"/>
      <c r="E206" s="20"/>
      <c r="F206" s="2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5.75" customHeight="1">
      <c r="A207" s="20"/>
      <c r="B207" s="20"/>
      <c r="C207" s="20"/>
      <c r="D207" s="20"/>
      <c r="E207" s="20"/>
      <c r="F207" s="2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5.75" customHeight="1">
      <c r="A208" s="20"/>
      <c r="B208" s="20"/>
      <c r="C208" s="20"/>
      <c r="D208" s="20"/>
      <c r="E208" s="20"/>
      <c r="F208" s="2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5.75" customHeight="1">
      <c r="A209" s="20"/>
      <c r="B209" s="20"/>
      <c r="C209" s="20"/>
      <c r="D209" s="20"/>
      <c r="E209" s="20"/>
      <c r="F209" s="2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5.75" customHeight="1">
      <c r="A210" s="20"/>
      <c r="B210" s="20"/>
      <c r="C210" s="20"/>
      <c r="D210" s="20"/>
      <c r="E210" s="20"/>
      <c r="F210" s="2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5.75" customHeight="1">
      <c r="A211" s="20"/>
      <c r="B211" s="20"/>
      <c r="C211" s="20"/>
      <c r="D211" s="20"/>
      <c r="E211" s="20"/>
      <c r="F211" s="2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5.75" customHeight="1">
      <c r="A212" s="20"/>
      <c r="B212" s="20"/>
      <c r="C212" s="20"/>
      <c r="D212" s="20"/>
      <c r="E212" s="20"/>
      <c r="F212" s="2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5.75" customHeight="1">
      <c r="A213" s="20"/>
      <c r="B213" s="20"/>
      <c r="C213" s="20"/>
      <c r="D213" s="20"/>
      <c r="E213" s="20"/>
      <c r="F213" s="2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5.75" customHeight="1">
      <c r="A214" s="20"/>
      <c r="B214" s="20"/>
      <c r="C214" s="20"/>
      <c r="D214" s="20"/>
      <c r="E214" s="20"/>
      <c r="F214" s="2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5.75" customHeight="1">
      <c r="A215" s="20"/>
      <c r="B215" s="20"/>
      <c r="C215" s="20"/>
      <c r="D215" s="20"/>
      <c r="E215" s="20"/>
      <c r="F215" s="2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5.75" customHeight="1">
      <c r="A216" s="20"/>
      <c r="B216" s="20"/>
      <c r="C216" s="20"/>
      <c r="D216" s="20"/>
      <c r="E216" s="20"/>
      <c r="F216" s="2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5.75" customHeight="1">
      <c r="A217" s="20"/>
      <c r="B217" s="20"/>
      <c r="C217" s="20"/>
      <c r="D217" s="20"/>
      <c r="E217" s="20"/>
      <c r="F217" s="2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5.75" customHeight="1">
      <c r="A218" s="20"/>
      <c r="B218" s="20"/>
      <c r="C218" s="20"/>
      <c r="D218" s="20"/>
      <c r="E218" s="20"/>
      <c r="F218" s="2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5.75" customHeight="1">
      <c r="A219" s="20"/>
      <c r="B219" s="20"/>
      <c r="C219" s="20"/>
      <c r="D219" s="20"/>
      <c r="E219" s="20"/>
      <c r="F219" s="2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5.75" customHeight="1">
      <c r="A220" s="20"/>
      <c r="B220" s="20"/>
      <c r="C220" s="20"/>
      <c r="D220" s="20"/>
      <c r="E220" s="20"/>
      <c r="F220" s="2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34.0"/>
    <col customWidth="1" min="2" max="4" width="16.0"/>
    <col customWidth="1" min="5" max="5" width="48.0"/>
    <col customWidth="1" min="6" max="25" width="8.71"/>
  </cols>
  <sheetData>
    <row r="1" ht="17.25" customHeight="1">
      <c r="A1" s="1" t="s">
        <v>152</v>
      </c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7.25" customHeight="1">
      <c r="A2" s="5" t="s">
        <v>153</v>
      </c>
      <c r="B2" s="2"/>
      <c r="C2" s="2"/>
      <c r="D2" s="2"/>
      <c r="E2" s="3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7.25" customHeight="1">
      <c r="A3" s="6"/>
      <c r="B3" s="7"/>
      <c r="C3" s="7"/>
      <c r="D3" s="7"/>
      <c r="E3" s="6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7.25" customHeight="1">
      <c r="A4" s="3" t="s">
        <v>154</v>
      </c>
      <c r="B4" s="2" t="s">
        <v>155</v>
      </c>
      <c r="C4" s="2" t="s">
        <v>156</v>
      </c>
      <c r="D4" s="2" t="s">
        <v>157</v>
      </c>
      <c r="E4" s="3" t="s">
        <v>158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7.25" customHeight="1">
      <c r="A5" s="3" t="s">
        <v>147</v>
      </c>
      <c r="B5" s="27">
        <f>WACC!B5</f>
        <v>32.24</v>
      </c>
      <c r="C5" s="27">
        <f>WACC!B5</f>
        <v>32.24</v>
      </c>
      <c r="D5" s="27">
        <f>WACC!B5</f>
        <v>32.24</v>
      </c>
      <c r="E5" s="3" t="s">
        <v>159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7.25" customHeight="1">
      <c r="A6" s="3" t="s">
        <v>160</v>
      </c>
      <c r="B6" s="27">
        <f>MIN(Comps!E13:E15)</f>
        <v>23.5453483</v>
      </c>
      <c r="C6" s="27">
        <f>AVERAGE(Comps!F13:F15)</f>
        <v>36.06957686</v>
      </c>
      <c r="D6" s="27">
        <f>MAX(Comps!G13:G15)</f>
        <v>44.12904939</v>
      </c>
      <c r="E6" s="3" t="s">
        <v>161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7.25" customHeight="1">
      <c r="A7" s="3" t="s">
        <v>162</v>
      </c>
      <c r="B7" s="27">
        <f>MIN(Sensitivity!B5:F9)</f>
        <v>35.22214567</v>
      </c>
      <c r="C7" s="27">
        <f>DCF!B23</f>
        <v>44.48793384</v>
      </c>
      <c r="D7" s="27">
        <f>MAX(Sensitivity!B5:F9)</f>
        <v>60.66789314</v>
      </c>
      <c r="E7" s="3" t="s">
        <v>163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7.25" customHeight="1">
      <c r="A8" s="3" t="s">
        <v>164</v>
      </c>
      <c r="B8" s="27">
        <f>AVERAGE(C6,C7)</f>
        <v>40.27875535</v>
      </c>
      <c r="C8" s="27">
        <f>AVERAGE(C6,C7)</f>
        <v>40.27875535</v>
      </c>
      <c r="D8" s="27">
        <f>AVERAGE(C6,C7)</f>
        <v>40.27875535</v>
      </c>
      <c r="E8" s="3" t="s">
        <v>165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20"/>
      <c r="C9" s="20"/>
      <c r="D9" s="20"/>
      <c r="E9" s="4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4"/>
      <c r="B10" s="20"/>
      <c r="C10" s="20"/>
      <c r="D10" s="20"/>
      <c r="E10" s="4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4"/>
      <c r="B11" s="20"/>
      <c r="C11" s="20"/>
      <c r="D11" s="20"/>
      <c r="E11" s="4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4"/>
      <c r="B12" s="20"/>
      <c r="C12" s="20"/>
      <c r="D12" s="20"/>
      <c r="E12" s="4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4"/>
      <c r="B13" s="20"/>
      <c r="C13" s="20"/>
      <c r="D13" s="20"/>
      <c r="E13" s="4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4"/>
      <c r="B14" s="20"/>
      <c r="C14" s="20"/>
      <c r="D14" s="20"/>
      <c r="E14" s="4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4"/>
      <c r="B15" s="20"/>
      <c r="C15" s="20"/>
      <c r="D15" s="20"/>
      <c r="E15" s="4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4"/>
      <c r="B16" s="20"/>
      <c r="C16" s="20"/>
      <c r="D16" s="20"/>
      <c r="E16" s="4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4"/>
      <c r="B17" s="20"/>
      <c r="C17" s="20"/>
      <c r="D17" s="20"/>
      <c r="E17" s="4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4"/>
      <c r="B18" s="20"/>
      <c r="C18" s="20"/>
      <c r="D18" s="20"/>
      <c r="E18" s="4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4"/>
      <c r="B19" s="20"/>
      <c r="C19" s="20"/>
      <c r="D19" s="20"/>
      <c r="E19" s="4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4"/>
      <c r="B20" s="20"/>
      <c r="C20" s="20"/>
      <c r="D20" s="20"/>
      <c r="E20" s="4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5.75" customHeight="1">
      <c r="A21" s="4"/>
      <c r="B21" s="20"/>
      <c r="C21" s="20"/>
      <c r="D21" s="20"/>
      <c r="E21" s="4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5.75" customHeight="1">
      <c r="A22" s="4"/>
      <c r="B22" s="20"/>
      <c r="C22" s="20"/>
      <c r="D22" s="20"/>
      <c r="E22" s="4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5.75" customHeight="1">
      <c r="A23" s="4"/>
      <c r="B23" s="20"/>
      <c r="C23" s="20"/>
      <c r="D23" s="20"/>
      <c r="E23" s="4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5.75" customHeight="1">
      <c r="A24" s="4"/>
      <c r="B24" s="20"/>
      <c r="C24" s="20"/>
      <c r="D24" s="20"/>
      <c r="E24" s="4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5.75" customHeight="1">
      <c r="A25" s="4"/>
      <c r="B25" s="20"/>
      <c r="C25" s="20"/>
      <c r="D25" s="20"/>
      <c r="E25" s="4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5.75" customHeight="1">
      <c r="A26" s="4"/>
      <c r="B26" s="20"/>
      <c r="C26" s="20"/>
      <c r="D26" s="20"/>
      <c r="E26" s="4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5.75" customHeight="1">
      <c r="A27" s="4"/>
      <c r="B27" s="20"/>
      <c r="C27" s="20"/>
      <c r="D27" s="20"/>
      <c r="E27" s="4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5.75" customHeight="1">
      <c r="A28" s="4"/>
      <c r="B28" s="20"/>
      <c r="C28" s="20"/>
      <c r="D28" s="20"/>
      <c r="E28" s="4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5.75" customHeight="1">
      <c r="A29" s="4"/>
      <c r="B29" s="20"/>
      <c r="C29" s="20"/>
      <c r="D29" s="20"/>
      <c r="E29" s="4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5.75" customHeight="1">
      <c r="A30" s="4"/>
      <c r="B30" s="20"/>
      <c r="C30" s="20"/>
      <c r="D30" s="20"/>
      <c r="E30" s="4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5.75" customHeight="1">
      <c r="A31" s="4"/>
      <c r="B31" s="20"/>
      <c r="C31" s="20"/>
      <c r="D31" s="20"/>
      <c r="E31" s="4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5.75" customHeight="1">
      <c r="A32" s="4"/>
      <c r="B32" s="20"/>
      <c r="C32" s="20"/>
      <c r="D32" s="20"/>
      <c r="E32" s="4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5.75" customHeight="1">
      <c r="A33" s="4"/>
      <c r="B33" s="20"/>
      <c r="C33" s="20"/>
      <c r="D33" s="20"/>
      <c r="E33" s="4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5.75" customHeight="1">
      <c r="A34" s="4"/>
      <c r="B34" s="20"/>
      <c r="C34" s="20"/>
      <c r="D34" s="20"/>
      <c r="E34" s="4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5.75" customHeight="1">
      <c r="A35" s="4"/>
      <c r="B35" s="20"/>
      <c r="C35" s="20"/>
      <c r="D35" s="20"/>
      <c r="E35" s="4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5.75" customHeight="1">
      <c r="A36" s="4"/>
      <c r="B36" s="20"/>
      <c r="C36" s="20"/>
      <c r="D36" s="20"/>
      <c r="E36" s="4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5.75" customHeight="1">
      <c r="A37" s="4"/>
      <c r="B37" s="20"/>
      <c r="C37" s="20"/>
      <c r="D37" s="20"/>
      <c r="E37" s="4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5.75" customHeight="1">
      <c r="A38" s="4"/>
      <c r="B38" s="20"/>
      <c r="C38" s="20"/>
      <c r="D38" s="20"/>
      <c r="E38" s="4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5.75" customHeight="1">
      <c r="A39" s="4"/>
      <c r="B39" s="20"/>
      <c r="C39" s="20"/>
      <c r="D39" s="20"/>
      <c r="E39" s="4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5.75" customHeight="1">
      <c r="A40" s="4"/>
      <c r="B40" s="20"/>
      <c r="C40" s="20"/>
      <c r="D40" s="20"/>
      <c r="E40" s="4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5.75" customHeight="1">
      <c r="A41" s="4"/>
      <c r="B41" s="20"/>
      <c r="C41" s="20"/>
      <c r="D41" s="20"/>
      <c r="E41" s="4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5.75" customHeight="1">
      <c r="A42" s="4"/>
      <c r="B42" s="20"/>
      <c r="C42" s="20"/>
      <c r="D42" s="20"/>
      <c r="E42" s="4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5.75" customHeight="1">
      <c r="A43" s="4"/>
      <c r="B43" s="20"/>
      <c r="C43" s="20"/>
      <c r="D43" s="20"/>
      <c r="E43" s="4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5.75" customHeight="1">
      <c r="A44" s="4"/>
      <c r="B44" s="20"/>
      <c r="C44" s="20"/>
      <c r="D44" s="20"/>
      <c r="E44" s="4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5.75" customHeight="1">
      <c r="A45" s="4"/>
      <c r="B45" s="20"/>
      <c r="C45" s="20"/>
      <c r="D45" s="20"/>
      <c r="E45" s="4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5.75" customHeight="1">
      <c r="A46" s="4"/>
      <c r="B46" s="20"/>
      <c r="C46" s="20"/>
      <c r="D46" s="20"/>
      <c r="E46" s="4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5.75" customHeight="1">
      <c r="A47" s="4"/>
      <c r="B47" s="20"/>
      <c r="C47" s="20"/>
      <c r="D47" s="20"/>
      <c r="E47" s="4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5.75" customHeight="1">
      <c r="A48" s="4"/>
      <c r="B48" s="20"/>
      <c r="C48" s="20"/>
      <c r="D48" s="20"/>
      <c r="E48" s="4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5.75" customHeight="1">
      <c r="A49" s="4"/>
      <c r="B49" s="20"/>
      <c r="C49" s="20"/>
      <c r="D49" s="20"/>
      <c r="E49" s="4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5.75" customHeight="1">
      <c r="A50" s="4"/>
      <c r="B50" s="20"/>
      <c r="C50" s="20"/>
      <c r="D50" s="20"/>
      <c r="E50" s="4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5.75" customHeight="1">
      <c r="A51" s="4"/>
      <c r="B51" s="20"/>
      <c r="C51" s="20"/>
      <c r="D51" s="20"/>
      <c r="E51" s="4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5.75" customHeight="1">
      <c r="A52" s="4"/>
      <c r="B52" s="20"/>
      <c r="C52" s="20"/>
      <c r="D52" s="20"/>
      <c r="E52" s="4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5.75" customHeight="1">
      <c r="A53" s="4"/>
      <c r="B53" s="20"/>
      <c r="C53" s="20"/>
      <c r="D53" s="20"/>
      <c r="E53" s="4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5.75" customHeight="1">
      <c r="A54" s="4"/>
      <c r="B54" s="20"/>
      <c r="C54" s="20"/>
      <c r="D54" s="20"/>
      <c r="E54" s="4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5.75" customHeight="1">
      <c r="A55" s="4"/>
      <c r="B55" s="20"/>
      <c r="C55" s="20"/>
      <c r="D55" s="20"/>
      <c r="E55" s="4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5.75" customHeight="1">
      <c r="A56" s="4"/>
      <c r="B56" s="20"/>
      <c r="C56" s="20"/>
      <c r="D56" s="20"/>
      <c r="E56" s="4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5.75" customHeight="1">
      <c r="A57" s="4"/>
      <c r="B57" s="20"/>
      <c r="C57" s="20"/>
      <c r="D57" s="20"/>
      <c r="E57" s="4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5.75" customHeight="1">
      <c r="A58" s="4"/>
      <c r="B58" s="20"/>
      <c r="C58" s="20"/>
      <c r="D58" s="20"/>
      <c r="E58" s="4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5.75" customHeight="1">
      <c r="A59" s="4"/>
      <c r="B59" s="20"/>
      <c r="C59" s="20"/>
      <c r="D59" s="20"/>
      <c r="E59" s="4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5.75" customHeight="1">
      <c r="A60" s="4"/>
      <c r="B60" s="20"/>
      <c r="C60" s="20"/>
      <c r="D60" s="20"/>
      <c r="E60" s="4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5.75" customHeight="1">
      <c r="A61" s="4"/>
      <c r="B61" s="20"/>
      <c r="C61" s="20"/>
      <c r="D61" s="20"/>
      <c r="E61" s="4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5.75" customHeight="1">
      <c r="A62" s="4"/>
      <c r="B62" s="20"/>
      <c r="C62" s="20"/>
      <c r="D62" s="20"/>
      <c r="E62" s="4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5.75" customHeight="1">
      <c r="A63" s="4"/>
      <c r="B63" s="20"/>
      <c r="C63" s="20"/>
      <c r="D63" s="20"/>
      <c r="E63" s="4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5.75" customHeight="1">
      <c r="A64" s="4"/>
      <c r="B64" s="20"/>
      <c r="C64" s="20"/>
      <c r="D64" s="20"/>
      <c r="E64" s="4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5.75" customHeight="1">
      <c r="A65" s="4"/>
      <c r="B65" s="20"/>
      <c r="C65" s="20"/>
      <c r="D65" s="20"/>
      <c r="E65" s="4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5.75" customHeight="1">
      <c r="A66" s="4"/>
      <c r="B66" s="20"/>
      <c r="C66" s="20"/>
      <c r="D66" s="20"/>
      <c r="E66" s="4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5.75" customHeight="1">
      <c r="A67" s="4"/>
      <c r="B67" s="20"/>
      <c r="C67" s="20"/>
      <c r="D67" s="20"/>
      <c r="E67" s="4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5.75" customHeight="1">
      <c r="A68" s="4"/>
      <c r="B68" s="20"/>
      <c r="C68" s="20"/>
      <c r="D68" s="20"/>
      <c r="E68" s="4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5.75" customHeight="1">
      <c r="A69" s="4"/>
      <c r="B69" s="20"/>
      <c r="C69" s="20"/>
      <c r="D69" s="20"/>
      <c r="E69" s="4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5.75" customHeight="1">
      <c r="A70" s="4"/>
      <c r="B70" s="20"/>
      <c r="C70" s="20"/>
      <c r="D70" s="20"/>
      <c r="E70" s="4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5.75" customHeight="1">
      <c r="A71" s="4"/>
      <c r="B71" s="20"/>
      <c r="C71" s="20"/>
      <c r="D71" s="20"/>
      <c r="E71" s="4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5.75" customHeight="1">
      <c r="A72" s="4"/>
      <c r="B72" s="20"/>
      <c r="C72" s="20"/>
      <c r="D72" s="20"/>
      <c r="E72" s="4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5.75" customHeight="1">
      <c r="A73" s="4"/>
      <c r="B73" s="20"/>
      <c r="C73" s="20"/>
      <c r="D73" s="20"/>
      <c r="E73" s="4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5.75" customHeight="1">
      <c r="A74" s="4"/>
      <c r="B74" s="20"/>
      <c r="C74" s="20"/>
      <c r="D74" s="20"/>
      <c r="E74" s="4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5.75" customHeight="1">
      <c r="A75" s="4"/>
      <c r="B75" s="20"/>
      <c r="C75" s="20"/>
      <c r="D75" s="20"/>
      <c r="E75" s="4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5.75" customHeight="1">
      <c r="A76" s="4"/>
      <c r="B76" s="20"/>
      <c r="C76" s="20"/>
      <c r="D76" s="20"/>
      <c r="E76" s="4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5.75" customHeight="1">
      <c r="A77" s="4"/>
      <c r="B77" s="20"/>
      <c r="C77" s="20"/>
      <c r="D77" s="20"/>
      <c r="E77" s="4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5.75" customHeight="1">
      <c r="A78" s="4"/>
      <c r="B78" s="20"/>
      <c r="C78" s="20"/>
      <c r="D78" s="20"/>
      <c r="E78" s="4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5.75" customHeight="1">
      <c r="A79" s="4"/>
      <c r="B79" s="20"/>
      <c r="C79" s="20"/>
      <c r="D79" s="20"/>
      <c r="E79" s="4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5.75" customHeight="1">
      <c r="A80" s="4"/>
      <c r="B80" s="20"/>
      <c r="C80" s="20"/>
      <c r="D80" s="20"/>
      <c r="E80" s="4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5.75" customHeight="1">
      <c r="A81" s="4"/>
      <c r="B81" s="20"/>
      <c r="C81" s="20"/>
      <c r="D81" s="20"/>
      <c r="E81" s="4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5.75" customHeight="1">
      <c r="A82" s="4"/>
      <c r="B82" s="20"/>
      <c r="C82" s="20"/>
      <c r="D82" s="20"/>
      <c r="E82" s="4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5.75" customHeight="1">
      <c r="A83" s="4"/>
      <c r="B83" s="20"/>
      <c r="C83" s="20"/>
      <c r="D83" s="20"/>
      <c r="E83" s="4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5.75" customHeight="1">
      <c r="A84" s="4"/>
      <c r="B84" s="20"/>
      <c r="C84" s="20"/>
      <c r="D84" s="20"/>
      <c r="E84" s="4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5.75" customHeight="1">
      <c r="A85" s="4"/>
      <c r="B85" s="20"/>
      <c r="C85" s="20"/>
      <c r="D85" s="20"/>
      <c r="E85" s="4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5.75" customHeight="1">
      <c r="A86" s="4"/>
      <c r="B86" s="20"/>
      <c r="C86" s="20"/>
      <c r="D86" s="20"/>
      <c r="E86" s="4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5.75" customHeight="1">
      <c r="A87" s="4"/>
      <c r="B87" s="20"/>
      <c r="C87" s="20"/>
      <c r="D87" s="20"/>
      <c r="E87" s="4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5.75" customHeight="1">
      <c r="A88" s="4"/>
      <c r="B88" s="20"/>
      <c r="C88" s="20"/>
      <c r="D88" s="20"/>
      <c r="E88" s="4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5.75" customHeight="1">
      <c r="A89" s="4"/>
      <c r="B89" s="20"/>
      <c r="C89" s="20"/>
      <c r="D89" s="20"/>
      <c r="E89" s="4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5.75" customHeight="1">
      <c r="A90" s="4"/>
      <c r="B90" s="20"/>
      <c r="C90" s="20"/>
      <c r="D90" s="20"/>
      <c r="E90" s="4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5.75" customHeight="1">
      <c r="A91" s="4"/>
      <c r="B91" s="20"/>
      <c r="C91" s="20"/>
      <c r="D91" s="20"/>
      <c r="E91" s="4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5.75" customHeight="1">
      <c r="A92" s="4"/>
      <c r="B92" s="20"/>
      <c r="C92" s="20"/>
      <c r="D92" s="20"/>
      <c r="E92" s="4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5.75" customHeight="1">
      <c r="A93" s="4"/>
      <c r="B93" s="20"/>
      <c r="C93" s="20"/>
      <c r="D93" s="20"/>
      <c r="E93" s="4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5.75" customHeight="1">
      <c r="A94" s="4"/>
      <c r="B94" s="20"/>
      <c r="C94" s="20"/>
      <c r="D94" s="20"/>
      <c r="E94" s="4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5.75" customHeight="1">
      <c r="A95" s="4"/>
      <c r="B95" s="20"/>
      <c r="C95" s="20"/>
      <c r="D95" s="20"/>
      <c r="E95" s="4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5.75" customHeight="1">
      <c r="A96" s="4"/>
      <c r="B96" s="20"/>
      <c r="C96" s="20"/>
      <c r="D96" s="20"/>
      <c r="E96" s="4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5.75" customHeight="1">
      <c r="A97" s="4"/>
      <c r="B97" s="20"/>
      <c r="C97" s="20"/>
      <c r="D97" s="20"/>
      <c r="E97" s="4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5.75" customHeight="1">
      <c r="A98" s="4"/>
      <c r="B98" s="20"/>
      <c r="C98" s="20"/>
      <c r="D98" s="20"/>
      <c r="E98" s="4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5.75" customHeight="1">
      <c r="A99" s="4"/>
      <c r="B99" s="20"/>
      <c r="C99" s="20"/>
      <c r="D99" s="20"/>
      <c r="E99" s="4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5.75" customHeight="1">
      <c r="A100" s="4"/>
      <c r="B100" s="20"/>
      <c r="C100" s="20"/>
      <c r="D100" s="20"/>
      <c r="E100" s="4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5.75" customHeight="1">
      <c r="A101" s="4"/>
      <c r="B101" s="20"/>
      <c r="C101" s="20"/>
      <c r="D101" s="20"/>
      <c r="E101" s="4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5.75" customHeight="1">
      <c r="A102" s="4"/>
      <c r="B102" s="20"/>
      <c r="C102" s="20"/>
      <c r="D102" s="20"/>
      <c r="E102" s="4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5.75" customHeight="1">
      <c r="A103" s="4"/>
      <c r="B103" s="20"/>
      <c r="C103" s="20"/>
      <c r="D103" s="20"/>
      <c r="E103" s="4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5.75" customHeight="1">
      <c r="A104" s="4"/>
      <c r="B104" s="20"/>
      <c r="C104" s="20"/>
      <c r="D104" s="20"/>
      <c r="E104" s="4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5.75" customHeight="1">
      <c r="A105" s="4"/>
      <c r="B105" s="20"/>
      <c r="C105" s="20"/>
      <c r="D105" s="20"/>
      <c r="E105" s="4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5.75" customHeight="1">
      <c r="A106" s="4"/>
      <c r="B106" s="20"/>
      <c r="C106" s="20"/>
      <c r="D106" s="20"/>
      <c r="E106" s="4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5.75" customHeight="1">
      <c r="A107" s="4"/>
      <c r="B107" s="20"/>
      <c r="C107" s="20"/>
      <c r="D107" s="20"/>
      <c r="E107" s="4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5.75" customHeight="1">
      <c r="A108" s="4"/>
      <c r="B108" s="20"/>
      <c r="C108" s="20"/>
      <c r="D108" s="20"/>
      <c r="E108" s="4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5.75" customHeight="1">
      <c r="A109" s="4"/>
      <c r="B109" s="20"/>
      <c r="C109" s="20"/>
      <c r="D109" s="20"/>
      <c r="E109" s="4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5.75" customHeight="1">
      <c r="A110" s="4"/>
      <c r="B110" s="20"/>
      <c r="C110" s="20"/>
      <c r="D110" s="20"/>
      <c r="E110" s="4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5.75" customHeight="1">
      <c r="A111" s="4"/>
      <c r="B111" s="20"/>
      <c r="C111" s="20"/>
      <c r="D111" s="20"/>
      <c r="E111" s="4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5.75" customHeight="1">
      <c r="A112" s="4"/>
      <c r="B112" s="20"/>
      <c r="C112" s="20"/>
      <c r="D112" s="20"/>
      <c r="E112" s="4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5.75" customHeight="1">
      <c r="A113" s="4"/>
      <c r="B113" s="20"/>
      <c r="C113" s="20"/>
      <c r="D113" s="20"/>
      <c r="E113" s="4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5.75" customHeight="1">
      <c r="A114" s="4"/>
      <c r="B114" s="20"/>
      <c r="C114" s="20"/>
      <c r="D114" s="20"/>
      <c r="E114" s="4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5.75" customHeight="1">
      <c r="A115" s="4"/>
      <c r="B115" s="20"/>
      <c r="C115" s="20"/>
      <c r="D115" s="20"/>
      <c r="E115" s="4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5.75" customHeight="1">
      <c r="A116" s="4"/>
      <c r="B116" s="20"/>
      <c r="C116" s="20"/>
      <c r="D116" s="20"/>
      <c r="E116" s="4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5.75" customHeight="1">
      <c r="A117" s="4"/>
      <c r="B117" s="20"/>
      <c r="C117" s="20"/>
      <c r="D117" s="20"/>
      <c r="E117" s="4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5.75" customHeight="1">
      <c r="A118" s="4"/>
      <c r="B118" s="20"/>
      <c r="C118" s="20"/>
      <c r="D118" s="20"/>
      <c r="E118" s="4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5.75" customHeight="1">
      <c r="A119" s="4"/>
      <c r="B119" s="20"/>
      <c r="C119" s="20"/>
      <c r="D119" s="20"/>
      <c r="E119" s="4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5.75" customHeight="1">
      <c r="A120" s="4"/>
      <c r="B120" s="20"/>
      <c r="C120" s="20"/>
      <c r="D120" s="20"/>
      <c r="E120" s="4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5.75" customHeight="1">
      <c r="A121" s="4"/>
      <c r="B121" s="20"/>
      <c r="C121" s="20"/>
      <c r="D121" s="20"/>
      <c r="E121" s="4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5.75" customHeight="1">
      <c r="A122" s="4"/>
      <c r="B122" s="20"/>
      <c r="C122" s="20"/>
      <c r="D122" s="20"/>
      <c r="E122" s="4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5.75" customHeight="1">
      <c r="A123" s="4"/>
      <c r="B123" s="20"/>
      <c r="C123" s="20"/>
      <c r="D123" s="20"/>
      <c r="E123" s="4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5.75" customHeight="1">
      <c r="A124" s="4"/>
      <c r="B124" s="20"/>
      <c r="C124" s="20"/>
      <c r="D124" s="20"/>
      <c r="E124" s="4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5.75" customHeight="1">
      <c r="A125" s="4"/>
      <c r="B125" s="20"/>
      <c r="C125" s="20"/>
      <c r="D125" s="20"/>
      <c r="E125" s="4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5.75" customHeight="1">
      <c r="A126" s="4"/>
      <c r="B126" s="20"/>
      <c r="C126" s="20"/>
      <c r="D126" s="20"/>
      <c r="E126" s="4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5.75" customHeight="1">
      <c r="A127" s="4"/>
      <c r="B127" s="20"/>
      <c r="C127" s="20"/>
      <c r="D127" s="20"/>
      <c r="E127" s="4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5.75" customHeight="1">
      <c r="A128" s="4"/>
      <c r="B128" s="20"/>
      <c r="C128" s="20"/>
      <c r="D128" s="20"/>
      <c r="E128" s="4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5.75" customHeight="1">
      <c r="A129" s="4"/>
      <c r="B129" s="20"/>
      <c r="C129" s="20"/>
      <c r="D129" s="20"/>
      <c r="E129" s="4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5.75" customHeight="1">
      <c r="A130" s="4"/>
      <c r="B130" s="20"/>
      <c r="C130" s="20"/>
      <c r="D130" s="20"/>
      <c r="E130" s="4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5.75" customHeight="1">
      <c r="A131" s="4"/>
      <c r="B131" s="20"/>
      <c r="C131" s="20"/>
      <c r="D131" s="20"/>
      <c r="E131" s="4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5.75" customHeight="1">
      <c r="A132" s="4"/>
      <c r="B132" s="20"/>
      <c r="C132" s="20"/>
      <c r="D132" s="20"/>
      <c r="E132" s="4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5.75" customHeight="1">
      <c r="A133" s="4"/>
      <c r="B133" s="20"/>
      <c r="C133" s="20"/>
      <c r="D133" s="20"/>
      <c r="E133" s="4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5.75" customHeight="1">
      <c r="A134" s="4"/>
      <c r="B134" s="20"/>
      <c r="C134" s="20"/>
      <c r="D134" s="20"/>
      <c r="E134" s="4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5.75" customHeight="1">
      <c r="A135" s="4"/>
      <c r="B135" s="20"/>
      <c r="C135" s="20"/>
      <c r="D135" s="20"/>
      <c r="E135" s="4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5.75" customHeight="1">
      <c r="A136" s="4"/>
      <c r="B136" s="20"/>
      <c r="C136" s="20"/>
      <c r="D136" s="20"/>
      <c r="E136" s="4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5.75" customHeight="1">
      <c r="A137" s="4"/>
      <c r="B137" s="20"/>
      <c r="C137" s="20"/>
      <c r="D137" s="20"/>
      <c r="E137" s="4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5.75" customHeight="1">
      <c r="A138" s="4"/>
      <c r="B138" s="20"/>
      <c r="C138" s="20"/>
      <c r="D138" s="20"/>
      <c r="E138" s="4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5.75" customHeight="1">
      <c r="A139" s="4"/>
      <c r="B139" s="20"/>
      <c r="C139" s="20"/>
      <c r="D139" s="20"/>
      <c r="E139" s="4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5.75" customHeight="1">
      <c r="A140" s="4"/>
      <c r="B140" s="20"/>
      <c r="C140" s="20"/>
      <c r="D140" s="20"/>
      <c r="E140" s="4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5.75" customHeight="1">
      <c r="A141" s="4"/>
      <c r="B141" s="20"/>
      <c r="C141" s="20"/>
      <c r="D141" s="20"/>
      <c r="E141" s="4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5.75" customHeight="1">
      <c r="A142" s="4"/>
      <c r="B142" s="20"/>
      <c r="C142" s="20"/>
      <c r="D142" s="20"/>
      <c r="E142" s="4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5.75" customHeight="1">
      <c r="A143" s="4"/>
      <c r="B143" s="20"/>
      <c r="C143" s="20"/>
      <c r="D143" s="20"/>
      <c r="E143" s="4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5.75" customHeight="1">
      <c r="A144" s="4"/>
      <c r="B144" s="20"/>
      <c r="C144" s="20"/>
      <c r="D144" s="20"/>
      <c r="E144" s="4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5.75" customHeight="1">
      <c r="A145" s="4"/>
      <c r="B145" s="20"/>
      <c r="C145" s="20"/>
      <c r="D145" s="20"/>
      <c r="E145" s="4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5.75" customHeight="1">
      <c r="A146" s="4"/>
      <c r="B146" s="20"/>
      <c r="C146" s="20"/>
      <c r="D146" s="20"/>
      <c r="E146" s="4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5.75" customHeight="1">
      <c r="A147" s="4"/>
      <c r="B147" s="20"/>
      <c r="C147" s="20"/>
      <c r="D147" s="20"/>
      <c r="E147" s="4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5.75" customHeight="1">
      <c r="A148" s="4"/>
      <c r="B148" s="20"/>
      <c r="C148" s="20"/>
      <c r="D148" s="20"/>
      <c r="E148" s="4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5.75" customHeight="1">
      <c r="A149" s="4"/>
      <c r="B149" s="20"/>
      <c r="C149" s="20"/>
      <c r="D149" s="20"/>
      <c r="E149" s="4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5.75" customHeight="1">
      <c r="A150" s="4"/>
      <c r="B150" s="20"/>
      <c r="C150" s="20"/>
      <c r="D150" s="20"/>
      <c r="E150" s="4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5.75" customHeight="1">
      <c r="A151" s="4"/>
      <c r="B151" s="20"/>
      <c r="C151" s="20"/>
      <c r="D151" s="20"/>
      <c r="E151" s="4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5.75" customHeight="1">
      <c r="A152" s="4"/>
      <c r="B152" s="20"/>
      <c r="C152" s="20"/>
      <c r="D152" s="20"/>
      <c r="E152" s="4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5.75" customHeight="1">
      <c r="A153" s="4"/>
      <c r="B153" s="20"/>
      <c r="C153" s="20"/>
      <c r="D153" s="20"/>
      <c r="E153" s="4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5.75" customHeight="1">
      <c r="A154" s="4"/>
      <c r="B154" s="20"/>
      <c r="C154" s="20"/>
      <c r="D154" s="20"/>
      <c r="E154" s="4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5.75" customHeight="1">
      <c r="A155" s="4"/>
      <c r="B155" s="20"/>
      <c r="C155" s="20"/>
      <c r="D155" s="20"/>
      <c r="E155" s="4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5.75" customHeight="1">
      <c r="A156" s="4"/>
      <c r="B156" s="20"/>
      <c r="C156" s="20"/>
      <c r="D156" s="20"/>
      <c r="E156" s="4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5.75" customHeight="1">
      <c r="A157" s="4"/>
      <c r="B157" s="20"/>
      <c r="C157" s="20"/>
      <c r="D157" s="20"/>
      <c r="E157" s="4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5.75" customHeight="1">
      <c r="A158" s="4"/>
      <c r="B158" s="20"/>
      <c r="C158" s="20"/>
      <c r="D158" s="20"/>
      <c r="E158" s="4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5.75" customHeight="1">
      <c r="A159" s="4"/>
      <c r="B159" s="20"/>
      <c r="C159" s="20"/>
      <c r="D159" s="20"/>
      <c r="E159" s="4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5.75" customHeight="1">
      <c r="A160" s="4"/>
      <c r="B160" s="20"/>
      <c r="C160" s="20"/>
      <c r="D160" s="20"/>
      <c r="E160" s="4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5.75" customHeight="1">
      <c r="A161" s="4"/>
      <c r="B161" s="20"/>
      <c r="C161" s="20"/>
      <c r="D161" s="20"/>
      <c r="E161" s="4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5.75" customHeight="1">
      <c r="A162" s="4"/>
      <c r="B162" s="20"/>
      <c r="C162" s="20"/>
      <c r="D162" s="20"/>
      <c r="E162" s="4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5.75" customHeight="1">
      <c r="A163" s="4"/>
      <c r="B163" s="20"/>
      <c r="C163" s="20"/>
      <c r="D163" s="20"/>
      <c r="E163" s="4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5.75" customHeight="1">
      <c r="A164" s="4"/>
      <c r="B164" s="20"/>
      <c r="C164" s="20"/>
      <c r="D164" s="20"/>
      <c r="E164" s="4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5.75" customHeight="1">
      <c r="A165" s="4"/>
      <c r="B165" s="20"/>
      <c r="C165" s="20"/>
      <c r="D165" s="20"/>
      <c r="E165" s="4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5.75" customHeight="1">
      <c r="A166" s="4"/>
      <c r="B166" s="20"/>
      <c r="C166" s="20"/>
      <c r="D166" s="20"/>
      <c r="E166" s="4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5.75" customHeight="1">
      <c r="A167" s="4"/>
      <c r="B167" s="20"/>
      <c r="C167" s="20"/>
      <c r="D167" s="20"/>
      <c r="E167" s="4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5.75" customHeight="1">
      <c r="A168" s="4"/>
      <c r="B168" s="20"/>
      <c r="C168" s="20"/>
      <c r="D168" s="20"/>
      <c r="E168" s="4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5.75" customHeight="1">
      <c r="A169" s="4"/>
      <c r="B169" s="20"/>
      <c r="C169" s="20"/>
      <c r="D169" s="20"/>
      <c r="E169" s="4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5.75" customHeight="1">
      <c r="A170" s="4"/>
      <c r="B170" s="20"/>
      <c r="C170" s="20"/>
      <c r="D170" s="20"/>
      <c r="E170" s="4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5.75" customHeight="1">
      <c r="A171" s="4"/>
      <c r="B171" s="20"/>
      <c r="C171" s="20"/>
      <c r="D171" s="20"/>
      <c r="E171" s="4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5.75" customHeight="1">
      <c r="A172" s="4"/>
      <c r="B172" s="20"/>
      <c r="C172" s="20"/>
      <c r="D172" s="20"/>
      <c r="E172" s="4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5.75" customHeight="1">
      <c r="A173" s="4"/>
      <c r="B173" s="20"/>
      <c r="C173" s="20"/>
      <c r="D173" s="20"/>
      <c r="E173" s="4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5.75" customHeight="1">
      <c r="A174" s="4"/>
      <c r="B174" s="20"/>
      <c r="C174" s="20"/>
      <c r="D174" s="20"/>
      <c r="E174" s="4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5.75" customHeight="1">
      <c r="A175" s="4"/>
      <c r="B175" s="20"/>
      <c r="C175" s="20"/>
      <c r="D175" s="20"/>
      <c r="E175" s="4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5.75" customHeight="1">
      <c r="A176" s="4"/>
      <c r="B176" s="20"/>
      <c r="C176" s="20"/>
      <c r="D176" s="20"/>
      <c r="E176" s="4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5.75" customHeight="1">
      <c r="A177" s="4"/>
      <c r="B177" s="20"/>
      <c r="C177" s="20"/>
      <c r="D177" s="20"/>
      <c r="E177" s="4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5.75" customHeight="1">
      <c r="A178" s="4"/>
      <c r="B178" s="20"/>
      <c r="C178" s="20"/>
      <c r="D178" s="20"/>
      <c r="E178" s="4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5.75" customHeight="1">
      <c r="A179" s="4"/>
      <c r="B179" s="20"/>
      <c r="C179" s="20"/>
      <c r="D179" s="20"/>
      <c r="E179" s="4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5.75" customHeight="1">
      <c r="A180" s="4"/>
      <c r="B180" s="20"/>
      <c r="C180" s="20"/>
      <c r="D180" s="20"/>
      <c r="E180" s="4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5.75" customHeight="1">
      <c r="A181" s="4"/>
      <c r="B181" s="20"/>
      <c r="C181" s="20"/>
      <c r="D181" s="20"/>
      <c r="E181" s="4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5.75" customHeight="1">
      <c r="A182" s="4"/>
      <c r="B182" s="20"/>
      <c r="C182" s="20"/>
      <c r="D182" s="20"/>
      <c r="E182" s="4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5.75" customHeight="1">
      <c r="A183" s="4"/>
      <c r="B183" s="20"/>
      <c r="C183" s="20"/>
      <c r="D183" s="20"/>
      <c r="E183" s="4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5.75" customHeight="1">
      <c r="A184" s="4"/>
      <c r="B184" s="20"/>
      <c r="C184" s="20"/>
      <c r="D184" s="20"/>
      <c r="E184" s="4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5.75" customHeight="1">
      <c r="A185" s="4"/>
      <c r="B185" s="20"/>
      <c r="C185" s="20"/>
      <c r="D185" s="20"/>
      <c r="E185" s="4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5.75" customHeight="1">
      <c r="A186" s="4"/>
      <c r="B186" s="20"/>
      <c r="C186" s="20"/>
      <c r="D186" s="20"/>
      <c r="E186" s="4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5.75" customHeight="1">
      <c r="A187" s="4"/>
      <c r="B187" s="20"/>
      <c r="C187" s="20"/>
      <c r="D187" s="20"/>
      <c r="E187" s="4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5.75" customHeight="1">
      <c r="A188" s="4"/>
      <c r="B188" s="20"/>
      <c r="C188" s="20"/>
      <c r="D188" s="20"/>
      <c r="E188" s="4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5.75" customHeight="1">
      <c r="A189" s="4"/>
      <c r="B189" s="20"/>
      <c r="C189" s="20"/>
      <c r="D189" s="20"/>
      <c r="E189" s="4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5.75" customHeight="1">
      <c r="A190" s="4"/>
      <c r="B190" s="20"/>
      <c r="C190" s="20"/>
      <c r="D190" s="20"/>
      <c r="E190" s="4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5.75" customHeight="1">
      <c r="A191" s="4"/>
      <c r="B191" s="20"/>
      <c r="C191" s="20"/>
      <c r="D191" s="20"/>
      <c r="E191" s="4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5.75" customHeight="1">
      <c r="A192" s="4"/>
      <c r="B192" s="20"/>
      <c r="C192" s="20"/>
      <c r="D192" s="20"/>
      <c r="E192" s="4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5.75" customHeight="1">
      <c r="A193" s="4"/>
      <c r="B193" s="20"/>
      <c r="C193" s="20"/>
      <c r="D193" s="20"/>
      <c r="E193" s="4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5.75" customHeight="1">
      <c r="A194" s="4"/>
      <c r="B194" s="20"/>
      <c r="C194" s="20"/>
      <c r="D194" s="20"/>
      <c r="E194" s="4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5.75" customHeight="1">
      <c r="A195" s="4"/>
      <c r="B195" s="20"/>
      <c r="C195" s="20"/>
      <c r="D195" s="20"/>
      <c r="E195" s="4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5.75" customHeight="1">
      <c r="A196" s="4"/>
      <c r="B196" s="20"/>
      <c r="C196" s="20"/>
      <c r="D196" s="20"/>
      <c r="E196" s="4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5.75" customHeight="1">
      <c r="A197" s="4"/>
      <c r="B197" s="20"/>
      <c r="C197" s="20"/>
      <c r="D197" s="20"/>
      <c r="E197" s="4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5.75" customHeight="1">
      <c r="A198" s="4"/>
      <c r="B198" s="20"/>
      <c r="C198" s="20"/>
      <c r="D198" s="20"/>
      <c r="E198" s="4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5.75" customHeight="1">
      <c r="A199" s="4"/>
      <c r="B199" s="20"/>
      <c r="C199" s="20"/>
      <c r="D199" s="20"/>
      <c r="E199" s="4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5.75" customHeight="1">
      <c r="A200" s="4"/>
      <c r="B200" s="20"/>
      <c r="C200" s="20"/>
      <c r="D200" s="20"/>
      <c r="E200" s="4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5.75" customHeight="1">
      <c r="A201" s="4"/>
      <c r="B201" s="20"/>
      <c r="C201" s="20"/>
      <c r="D201" s="20"/>
      <c r="E201" s="4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5.75" customHeight="1">
      <c r="A202" s="4"/>
      <c r="B202" s="20"/>
      <c r="C202" s="20"/>
      <c r="D202" s="20"/>
      <c r="E202" s="4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5.75" customHeight="1">
      <c r="A203" s="4"/>
      <c r="B203" s="20"/>
      <c r="C203" s="20"/>
      <c r="D203" s="20"/>
      <c r="E203" s="4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5.75" customHeight="1">
      <c r="A204" s="4"/>
      <c r="B204" s="20"/>
      <c r="C204" s="20"/>
      <c r="D204" s="20"/>
      <c r="E204" s="4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5.75" customHeight="1">
      <c r="A205" s="4"/>
      <c r="B205" s="20"/>
      <c r="C205" s="20"/>
      <c r="D205" s="20"/>
      <c r="E205" s="4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5.75" customHeight="1">
      <c r="A206" s="4"/>
      <c r="B206" s="20"/>
      <c r="C206" s="20"/>
      <c r="D206" s="20"/>
      <c r="E206" s="4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5.75" customHeight="1">
      <c r="A207" s="4"/>
      <c r="B207" s="20"/>
      <c r="C207" s="20"/>
      <c r="D207" s="20"/>
      <c r="E207" s="4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5.75" customHeight="1">
      <c r="A208" s="4"/>
      <c r="B208" s="20"/>
      <c r="C208" s="20"/>
      <c r="D208" s="20"/>
      <c r="E208" s="4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5.75" customHeight="1">
      <c r="A209" s="4"/>
      <c r="B209" s="20"/>
      <c r="C209" s="20"/>
      <c r="D209" s="20"/>
      <c r="E209" s="4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5.75" customHeight="1">
      <c r="A210" s="4"/>
      <c r="B210" s="20"/>
      <c r="C210" s="20"/>
      <c r="D210" s="20"/>
      <c r="E210" s="4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5.75" customHeight="1">
      <c r="A211" s="4"/>
      <c r="B211" s="20"/>
      <c r="C211" s="20"/>
      <c r="D211" s="20"/>
      <c r="E211" s="4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5.75" customHeight="1">
      <c r="A212" s="4"/>
      <c r="B212" s="20"/>
      <c r="C212" s="20"/>
      <c r="D212" s="20"/>
      <c r="E212" s="4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5.75" customHeight="1">
      <c r="A213" s="4"/>
      <c r="B213" s="20"/>
      <c r="C213" s="20"/>
      <c r="D213" s="20"/>
      <c r="E213" s="4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5.75" customHeight="1">
      <c r="A214" s="4"/>
      <c r="B214" s="20"/>
      <c r="C214" s="20"/>
      <c r="D214" s="20"/>
      <c r="E214" s="4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5.75" customHeight="1">
      <c r="A215" s="4"/>
      <c r="B215" s="20"/>
      <c r="C215" s="20"/>
      <c r="D215" s="20"/>
      <c r="E215" s="4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5.75" customHeight="1">
      <c r="A216" s="4"/>
      <c r="B216" s="20"/>
      <c r="C216" s="20"/>
      <c r="D216" s="20"/>
      <c r="E216" s="4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5.75" customHeight="1">
      <c r="A217" s="4"/>
      <c r="B217" s="20"/>
      <c r="C217" s="20"/>
      <c r="D217" s="20"/>
      <c r="E217" s="4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5.75" customHeight="1">
      <c r="A218" s="4"/>
      <c r="B218" s="20"/>
      <c r="C218" s="20"/>
      <c r="D218" s="20"/>
      <c r="E218" s="4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5.75" customHeight="1">
      <c r="A219" s="4"/>
      <c r="B219" s="20"/>
      <c r="C219" s="20"/>
      <c r="D219" s="20"/>
      <c r="E219" s="4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5.75" customHeight="1">
      <c r="A220" s="4"/>
      <c r="B220" s="20"/>
      <c r="C220" s="20"/>
      <c r="D220" s="20"/>
      <c r="E220" s="4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</row>
    <row r="222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</row>
  </sheetData>
  <printOptions/>
  <pageMargins bottom="0.75" footer="0.0" header="0.0" left="0.7" right="0.7" top="0.75"/>
  <pageSetup orientation="landscape"/>
  <drawing r:id="rId1"/>
</worksheet>
</file>